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 Source Register" sheetId="2" state="visible" r:id="rId4"/>
    <sheet name="2 Assumptions (S)" sheetId="3" state="visible" r:id="rId5"/>
    <sheet name="3 Product Area Map (A1)" sheetId="4" state="visible" r:id="rId6"/>
    <sheet name="4 Coverage Matrix (A4)" sheetId="5" state="visible" r:id="rId7"/>
    <sheet name="5 Analytics Gaps" sheetId="6" state="visible" r:id="rId8"/>
    <sheet name="6 User Spec (B)" sheetId="7" state="visible" r:id="rId9"/>
    <sheet name="7 Event Plan (F)" sheetId="8" state="visible" r:id="rId10"/>
    <sheet name="8 Naming Standard" sheetId="9" state="visible" r:id="rId11"/>
    <sheet name="9 Dev Handoff (N)" sheetId="10" state="visible" r:id="rId12"/>
    <sheet name="10 Data Dictionary (G)" sheetId="11" state="visible" r:id="rId13"/>
    <sheet name="11 KPI Catalogue (I)" sheetId="12" state="visible" r:id="rId14"/>
    <sheet name="12 Profile Summary (J1)" sheetId="13" state="visible" r:id="rId15"/>
    <sheet name="13 Column Profile" sheetId="14" state="visible" r:id="rId16"/>
    <sheet name="14 Relationships (J2)" sheetId="15" state="visible" r:id="rId17"/>
    <sheet name="15 KPI Test (J3)" sheetId="16" state="visible" r:id="rId18"/>
    <sheet name="16 DQ Audit (K)" sheetId="17" state="visible" r:id="rId19"/>
    <sheet name="17 DQ Controls (L)" sheetId="18" state="visible" r:id="rId20"/>
    <sheet name="18 Dashboard Spec (M)" sheetId="19" state="visible" r:id="rId21"/>
    <sheet name="19 Change Log (Q)" sheetId="20" state="visible" r:id="rId22"/>
    <sheet name="20 Readiness (R)" sheetId="21" state="visible" r:id="rId23"/>
    <sheet name="21 Backlog" sheetId="22" state="visible" r:id="rId24"/>
  </sheets>
  <definedNames>
    <definedName function="false" hidden="true" localSheetId="1" name="_xlnm._FilterDatabase" vbProcedure="false">'1 Source Register'!$A$3:$G$17</definedName>
    <definedName function="false" hidden="true" localSheetId="10" name="_xlnm._FilterDatabase" vbProcedure="false">'10 Data Dictionary (G)'!$A$3:$L$109</definedName>
    <definedName function="false" hidden="true" localSheetId="11" name="_xlnm._FilterDatabase" vbProcedure="false">'11 KPI Catalogue (I)'!$A$3:$N$57</definedName>
    <definedName function="false" hidden="true" localSheetId="12" name="_xlnm._FilterDatabase" vbProcedure="false">'12 Profile Summary (J1)'!$A$3:$K$12</definedName>
    <definedName function="false" hidden="true" localSheetId="13" name="_xlnm._FilterDatabase" vbProcedure="false">'13 Column Profile'!$A$3:$I$58</definedName>
    <definedName function="false" hidden="true" localSheetId="14" name="_xlnm._FilterDatabase" vbProcedure="false">'14 Relationships (J2)'!$A$3:$D$20</definedName>
    <definedName function="false" hidden="true" localSheetId="15" name="_xlnm._FilterDatabase" vbProcedure="false">'15 KPI Test (J3)'!$A$3:$D$20</definedName>
    <definedName function="false" hidden="true" localSheetId="16" name="_xlnm._FilterDatabase" vbProcedure="false">'16 DQ Audit (K)'!$A$3:$L$29</definedName>
    <definedName function="false" hidden="true" localSheetId="17" name="_xlnm._FilterDatabase" vbProcedure="false">'17 DQ Controls (L)'!$A$3:$G$25</definedName>
    <definedName function="false" hidden="true" localSheetId="18" name="_xlnm._FilterDatabase" vbProcedure="false">'18 Dashboard Spec (M)'!$A$3:$L$47</definedName>
    <definedName function="false" hidden="true" localSheetId="19" name="_xlnm._FilterDatabase" vbProcedure="false">'19 Change Log (Q)'!$A$3:$J$7</definedName>
    <definedName function="false" hidden="true" localSheetId="2" name="_xlnm._FilterDatabase" vbProcedure="false">'2 Assumptions (S)'!$A$3:$G$33</definedName>
    <definedName function="false" hidden="true" localSheetId="20" name="_xlnm._FilterDatabase" vbProcedure="false">'20 Readiness (R)'!$A$3:$F$13</definedName>
    <definedName function="false" hidden="true" localSheetId="21" name="_xlnm._FilterDatabase" vbProcedure="false">'21 Backlog'!$A$3:$F$25</definedName>
    <definedName function="false" hidden="true" localSheetId="3" name="_xlnm._FilterDatabase" vbProcedure="false">'3 Product Area Map (A1)'!$A$3:$G$34</definedName>
    <definedName function="false" hidden="true" localSheetId="4" name="_xlnm._FilterDatabase" vbProcedure="false">'4 Coverage Matrix (A4)'!$A$3:$K$34</definedName>
    <definedName function="false" hidden="true" localSheetId="5" name="_xlnm._FilterDatabase" vbProcedure="false">'5 Analytics Gaps'!$A$3:$E$17</definedName>
    <definedName function="false" hidden="true" localSheetId="6" name="_xlnm._FilterDatabase" vbProcedure="false">'6 User Spec (B)'!$A$3:$G$30</definedName>
    <definedName function="false" hidden="true" localSheetId="7" name="_xlnm._FilterDatabase" vbProcedure="false">'7 Event Plan (F)'!$A$3:$S$45</definedName>
    <definedName function="false" hidden="true" localSheetId="8" name="_xlnm._FilterDatabase" vbProcedure="false">'8 Naming Standard'!$A$3:$B$11</definedName>
    <definedName function="false" hidden="true" localSheetId="9" name="_xlnm._FilterDatabase" vbProcedure="false">'9 Dev Handoff (N)'!$A$3:$N$111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<sst xmlns="http://schemas.openxmlformats.org/spreadsheetml/2006/main" count="7510" uniqueCount="2807">
  <si>
    <t xml:space="preserve">VELOOP Rewards - Data Analyst Internship Task 01 - Analytics Workbook</t>
  </si>
  <si>
    <t xml:space="preserve">Prepared by Iqra Siddiqui (ID VLRINT202601918). Version 1.0, 7 Oct 2026.</t>
  </si>
  <si>
    <t xml:space="preserve">DATA AUTHENTICITY: all data referred to here is SIMULATED / FICTIONAL. No figure in this workbook is an actual VELOOP user, earning, withdrawal, revenue, retention or performance statistic. Proposed events, fields and KPIs are NOT claimed to exist in production.</t>
  </si>
  <si>
    <t xml:space="preserve">Item</t>
  </si>
  <si>
    <t xml:space="preserve">Count (live formula)</t>
  </si>
  <si>
    <t xml:space="preserve">Brief minimum</t>
  </si>
  <si>
    <t xml:space="preserve">Events in Event Plan</t>
  </si>
  <si>
    <t xml:space="preserve">25</t>
  </si>
  <si>
    <t xml:space="preserve">Fields in Data Dictionary</t>
  </si>
  <si>
    <t xml:space="preserve">75</t>
  </si>
  <si>
    <t xml:space="preserve">KPIs in KPI Catalogue</t>
  </si>
  <si>
    <t xml:space="preserve">30</t>
  </si>
  <si>
    <t xml:space="preserve">Analytics gaps</t>
  </si>
  <si>
    <t xml:space="preserve">10</t>
  </si>
  <si>
    <t xml:space="preserve">Assumptions registered</t>
  </si>
  <si>
    <t xml:space="preserve">-</t>
  </si>
  <si>
    <t xml:space="preserve">Data-quality issues logged</t>
  </si>
  <si>
    <t xml:space="preserve">  of which Critical</t>
  </si>
  <si>
    <t xml:space="preserve">  of which High</t>
  </si>
  <si>
    <t xml:space="preserve">Dashboard visuals specified</t>
  </si>
  <si>
    <t xml:space="preserve">Backlog items</t>
  </si>
  <si>
    <t xml:space="preserve">Deliverable index (workbook sheets)</t>
  </si>
  <si>
    <t xml:space="preserve">03 Data Coverage Matrix</t>
  </si>
  <si>
    <t xml:space="preserve">3 Product Area Map (A1), 4 Coverage Matrix (A4), 5 Analytics Gaps</t>
  </si>
  <si>
    <t xml:space="preserve">04 User Analytics Specification</t>
  </si>
  <si>
    <t xml:space="preserve">6 User Spec (B)</t>
  </si>
  <si>
    <t xml:space="preserve">08 Event Tracking Plan</t>
  </si>
  <si>
    <t xml:space="preserve">7 Event Plan (F), 8 Naming Standard</t>
  </si>
  <si>
    <t xml:space="preserve">09 Data Dictionary</t>
  </si>
  <si>
    <t xml:space="preserve">10 Data Dictionary (G)</t>
  </si>
  <si>
    <t xml:space="preserve">11 KPI Catalogue</t>
  </si>
  <si>
    <t xml:space="preserve">11 KPI Catalogue (I)</t>
  </si>
  <si>
    <t xml:space="preserve">12 Simulated Data Profiling</t>
  </si>
  <si>
    <t xml:space="preserve">12-15 (J1, J2, J3)</t>
  </si>
  <si>
    <t xml:space="preserve">13 Data Quality Audit</t>
  </si>
  <si>
    <t xml:space="preserve">16 DQ Audit (K), 17 DQ Controls (L)</t>
  </si>
  <si>
    <t xml:space="preserve">14 Dashboard Blueprint (specs)</t>
  </si>
  <si>
    <t xml:space="preserve">18 Dashboard Spec (M)</t>
  </si>
  <si>
    <t xml:space="preserve">15 Developer Analytics Handoff</t>
  </si>
  <si>
    <t xml:space="preserve">9 Dev Handoff (N)</t>
  </si>
  <si>
    <t xml:space="preserve">18 Analytics Readiness Assessment</t>
  </si>
  <si>
    <t xml:space="preserve">20 Readiness (R)</t>
  </si>
  <si>
    <t xml:space="preserve">19 Assumption &amp; Verification Register</t>
  </si>
  <si>
    <t xml:space="preserve">1 Source Register, 2 Assumptions (S)</t>
  </si>
  <si>
    <t xml:space="preserve">20 Implementation Backlog</t>
  </si>
  <si>
    <t xml:space="preserve">21 Backlog</t>
  </si>
  <si>
    <t xml:space="preserve">Change management (Q)</t>
  </si>
  <si>
    <t xml:space="preserve">19 Change Log (Q)</t>
  </si>
  <si>
    <t xml:space="preserve">Deliverables 01, 02, 05, 06, 07, 10, 16, 17, 21</t>
  </si>
  <si>
    <t xml:space="preserve">In VELOOP_Task01_Final_Report.docx</t>
  </si>
  <si>
    <t xml:space="preserve">Source &amp; Verification Register (Brief section 6)</t>
  </si>
  <si>
    <t xml:space="preserve">SIMULATED DATA - NOT ACTUAL VELOOP DATA. Status legend: Confirmed / Proposed / To Be Verified. No proposed item is claimed to exist in production.</t>
  </si>
  <si>
    <t xml:space="preserve">Source ID</t>
  </si>
  <si>
    <t xml:space="preserve">Information</t>
  </si>
  <si>
    <t xml:space="preserve">Source</t>
  </si>
  <si>
    <t xml:space="preserve">Source Type</t>
  </si>
  <si>
    <t xml:space="preserve">Date Checked</t>
  </si>
  <si>
    <t xml:space="preserve">Status</t>
  </si>
  <si>
    <t xml:space="preserve">Notes / Limitation</t>
  </si>
  <si>
    <t xml:space="preserve">S001</t>
  </si>
  <si>
    <t xml:space="preserve">VELOOP is a developing rewards &amp; engagement ecosystem without enough production data for conventional performance analysis</t>
  </si>
  <si>
    <t xml:space="preserve">Data_Analyst_01.pdf §5, §35</t>
  </si>
  <si>
    <t xml:space="preserve">Official (task brief)</t>
  </si>
  <si>
    <t xml:space="preserve">2026-10-07</t>
  </si>
  <si>
    <t xml:space="preserve">Confirmed</t>
  </si>
  <si>
    <t xml:space="preserve">Statement by the company; not independently verifiable by the analyst.</t>
  </si>
  <si>
    <t xml:space="preserve">S002</t>
  </si>
  <si>
    <t xml:space="preserve">Relevant product areas: accounts, earning activities, VEs, XP, Gems, Tokens, Spins, daily rewards, streaks, tasks, missions, badges, levels, referrals, wallet, exchange, withdrawals, feature engagement, support/help, future features</t>
  </si>
  <si>
    <t xml:space="preserve">Data_Analyst_01.pdf §5</t>
  </si>
  <si>
    <t xml:space="preserve">Confirmed only as a list of RELEVANT areas. Production implementation of each is To Be Verified.</t>
  </si>
  <si>
    <t xml:space="preserve">S003</t>
  </si>
  <si>
    <t xml:space="preserve">Not every feature may be implemented or production-ready</t>
  </si>
  <si>
    <t xml:space="preserve">Drives the Confirmed / Proposed / To Be Verified labelling used in every deliverable.</t>
  </si>
  <si>
    <t xml:space="preserve">S004</t>
  </si>
  <si>
    <t xml:space="preserve">Task 01 Users dataset: 1,000 clean rows, 1,008 audit rows, period 01 Apr 2026 - 15 Sep 2026, 27 columns (28 in audit incl. data_environment)</t>
  </si>
  <si>
    <t xml:space="preserve">VELoop_Rewards_Data_01.xlsx (README_Data_Status, Users_1000_Clean, Users_Messy_Audit)</t>
  </si>
  <si>
    <t xml:space="preserve">Simulated</t>
  </si>
  <si>
    <t xml:space="preserve">Fictional. Never to be cited as actual VELOOP users. Use wording: "In the simulated dataset...".</t>
  </si>
  <si>
    <t xml:space="preserve">S005</t>
  </si>
  <si>
    <t xml:space="preserve">Supplied Task 01 workbook contains the Users entity only; Task Activity, Rewards, Wallet, Withdrawals, Referrals and Feature Events sheets listed in brief §28 were not supplied</t>
  </si>
  <si>
    <t xml:space="preserve">VELoop_Rewards_Data_01.xlsx (README: "Standalone Users dataset for Task 01")</t>
  </si>
  <si>
    <t xml:space="preserve">Limits Work Packages J2/J3. A supplementary dataset was used for relationship/KPI testing (S006). Request to the program team recorded as A003.</t>
  </si>
  <si>
    <t xml:space="preserve">S006</t>
  </si>
  <si>
    <t xml:space="preserve">Supplementary behavioral dataset (Users 1,000; Sessions 7,913; Feature Events 35,704; Daily Activity 6,667; Task Activity 9,846; Milestones 4,799; Event audit 35,714) - labelled "Task 02"</t>
  </si>
  <si>
    <t xml:space="preserve">VELOOP_Simulated_User_Behavior_1000.xlsx (09_README_Status)</t>
  </si>
  <si>
    <t xml:space="preserve">Used ONLY as a clearly labelled supplementary test bed. Its user_id values collide with S004 but describe different people (see DQ-014), so the two files are never joined.</t>
  </si>
  <si>
    <t xml:space="preserve">S007</t>
  </si>
  <si>
    <t xml:space="preserve">15 feature names appear in the supplementary dataset: Watch Ads, Missions, Streak Rewards, CAPTCHA, Tap &amp; Earn, Mining Rewards, Referral, Daily Reward, Level System, Spin the Wheel, Wallet, Leaderboard, Badges, Exchange Center, Follow &amp; Earn</t>
  </si>
  <si>
    <t xml:space="preserve">VELOOP_Simulated_User_Behavior_1000.xlsx (03_Feature_Events, 07_Feature_Usage)</t>
  </si>
  <si>
    <t xml:space="preserve">To Be Verified</t>
  </si>
  <si>
    <t xml:space="preserve">Names are used as a working feature list. Whether each exists in production is unverified (A006).</t>
  </si>
  <si>
    <t xml:space="preserve">S008</t>
  </si>
  <si>
    <t xml:space="preserve">Supported withdrawal methods, minimum amounts, review rules</t>
  </si>
  <si>
    <t xml:space="preserve">Not supplied</t>
  </si>
  <si>
    <t xml:space="preserve">n/a</t>
  </si>
  <si>
    <t xml:space="preserve">Method is proposed as a field only; no methods are assumed (A010).</t>
  </si>
  <si>
    <t xml:space="preserve">S009</t>
  </si>
  <si>
    <t xml:space="preserve">Definitions and conversion between VEs, XP, Gems, Tokens</t>
  </si>
  <si>
    <t xml:space="preserve">Data_Analyst_01.pdf §5 (names only)</t>
  </si>
  <si>
    <t xml:space="preserve">Only the names are known. reward_unit is therefore designed as a controlled list to be filled by Product (A008).</t>
  </si>
  <si>
    <t xml:space="preserve">S010</t>
  </si>
  <si>
    <t xml:space="preserve">External providers behind ads, surveys, offers, games, tracking</t>
  </si>
  <si>
    <t xml:space="preserve">Analytics designed to tolerate external-system outcomes (§C4) without naming providers (A012).</t>
  </si>
  <si>
    <t xml:space="preserve">S011</t>
  </si>
  <si>
    <t xml:space="preserve">Session identifier exists in production events</t>
  </si>
  <si>
    <t xml:space="preserve">Data_Analyst_01.pdf §B1 (requested as requirement)</t>
  </si>
  <si>
    <t xml:space="preserve">Proposed as an analytics field. Not assumed to exist (A004).</t>
  </si>
  <si>
    <t xml:space="preserve">S012</t>
  </si>
  <si>
    <t xml:space="preserve">Definitions of derived flags is_active_7d, is_active_30d, days_since_registration and the reference timestamp used</t>
  </si>
  <si>
    <t xml:space="preserve">VELoop_Rewards_Data_01.xlsx (Data_Dictionary: "Derived")</t>
  </si>
  <si>
    <t xml:space="preserve">8 and 9 users could not be reproduced for the 7d/30d flags using 15 Sep 2026 as reference (DQ-012).</t>
  </si>
  <si>
    <t xml:space="preserve">S013</t>
  </si>
  <si>
    <t xml:space="preserve">GPT-industry competitor patterns (rewards mechanics, withdrawal trust, tracking trust)</t>
  </si>
  <si>
    <t xml:space="preserve">VELOOP_Rewards_GPT_Industry_Competitor_Research_Report (intern-prepared)</t>
  </si>
  <si>
    <t xml:space="preserve">Internal (secondary research)</t>
  </si>
  <si>
    <t xml:space="preserve">Proposed</t>
  </si>
  <si>
    <t xml:space="preserve">Insights about OTHER platforms. Not facts about VELOOP.</t>
  </si>
  <si>
    <t xml:space="preserve">S014</t>
  </si>
  <si>
    <t xml:space="preserve">Data authenticity and integrity rules (no fabricated stats, no credentials, no unnecessary personal data)</t>
  </si>
  <si>
    <t xml:space="preserve">Data_Analyst_01.pdf §2, §30, §34</t>
  </si>
  <si>
    <t xml:space="preserve">Applied across all deliverables.</t>
  </si>
  <si>
    <t xml:space="preserve">Assumption &amp; Verification Register (Work Package S)</t>
  </si>
  <si>
    <t xml:space="preserve">ID</t>
  </si>
  <si>
    <t xml:space="preserve">Unknown</t>
  </si>
  <si>
    <t xml:space="preserve">Why It Matters</t>
  </si>
  <si>
    <t xml:space="preserve">Source Checked</t>
  </si>
  <si>
    <t xml:space="preserve">Risk</t>
  </si>
  <si>
    <t xml:space="preserve">Verification Owner</t>
  </si>
  <si>
    <t xml:space="preserve">A001</t>
  </si>
  <si>
    <t xml:space="preserve">Does the backend currently emit task completion events?</t>
  </si>
  <si>
    <t xml:space="preserve">Required for all task analytics and reward reconciliation</t>
  </si>
  <si>
    <t xml:space="preserve">Product brief; no engineering docs supplied</t>
  </si>
  <si>
    <t xml:space="preserve">High</t>
  </si>
  <si>
    <t xml:space="preserve">Engineering</t>
  </si>
  <si>
    <t xml:space="preserve">A002</t>
  </si>
  <si>
    <t xml:space="preserve">Is there a stable, immutable user_id issued at registration (independent of email)?</t>
  </si>
  <si>
    <t xml:space="preserve">Cross-event joins and de-duplication depend on it</t>
  </si>
  <si>
    <t xml:space="preserve">Simulated Users data only</t>
  </si>
  <si>
    <t xml:space="preserve">Critical</t>
  </si>
  <si>
    <t xml:space="preserve">A003</t>
  </si>
  <si>
    <t xml:space="preserve">Will the program team supply the missing Task Activity, Rewards, Wallet, Withdrawals, Referrals, Feature Events sheets?</t>
  </si>
  <si>
    <t xml:space="preserve">Needed to test relationships and KPIs required by J2/J3 on the intended dataset</t>
  </si>
  <si>
    <t xml:space="preserve">Data_01 README</t>
  </si>
  <si>
    <t xml:space="preserve">Program team / Admin</t>
  </si>
  <si>
    <t xml:space="preserve">A004</t>
  </si>
  <si>
    <t xml:space="preserve">Does production generate a session_id and where is a session closed?</t>
  </si>
  <si>
    <t xml:space="preserve">Session-level KPIs and funnels need it</t>
  </si>
  <si>
    <t xml:space="preserve">Brief §B1</t>
  </si>
  <si>
    <t xml:space="preserve">A005</t>
  </si>
  <si>
    <t xml:space="preserve">Is event_id generated client-side or server-side, and is it idempotent on retry?</t>
  </si>
  <si>
    <t xml:space="preserve">Duplicate events inflate KPIs</t>
  </si>
  <si>
    <t xml:space="preserve">None</t>
  </si>
  <si>
    <t xml:space="preserve">A006</t>
  </si>
  <si>
    <t xml:space="preserve">Which of the 15 feature names actually exist in production today?</t>
  </si>
  <si>
    <t xml:space="preserve">Event plan and dashboards must not cover non-existent features</t>
  </si>
  <si>
    <t xml:space="preserve">Simulated feature list</t>
  </si>
  <si>
    <t xml:space="preserve">Medium</t>
  </si>
  <si>
    <t xml:space="preserve">Product</t>
  </si>
  <si>
    <t xml:space="preserve">A007</t>
  </si>
  <si>
    <t xml:space="preserve">Is reward crediting synchronous with task completion or delayed by validation?</t>
  </si>
  <si>
    <t xml:space="preserve">Determines whether reward_pending is a real state</t>
  </si>
  <si>
    <t xml:space="preserve">Product / Engineering</t>
  </si>
  <si>
    <t xml:space="preserve">A008</t>
  </si>
  <si>
    <t xml:space="preserve">What are the exact reward units (VE, XP, Gem, Token) and are there conversion rules?</t>
  </si>
  <si>
    <t xml:space="preserve">Amount fields need a unit; cross-unit totals are invalid without rules</t>
  </si>
  <si>
    <t xml:space="preserve">Brief names only</t>
  </si>
  <si>
    <t xml:space="preserve">A009</t>
  </si>
  <si>
    <t xml:space="preserve">Is there a single wallet ledger or one balance per currency?</t>
  </si>
  <si>
    <t xml:space="preserve">Defines the transaction model and balance reconciliation</t>
  </si>
  <si>
    <t xml:space="preserve">A010</t>
  </si>
  <si>
    <t xml:space="preserve">Which withdrawal methods, minimums and review steps exist?</t>
  </si>
  <si>
    <t xml:space="preserve">Method distribution, processing-time and rejection KPIs depend on it</t>
  </si>
  <si>
    <t xml:space="preserve">Product / Operations</t>
  </si>
  <si>
    <t xml:space="preserve">A011</t>
  </si>
  <si>
    <t xml:space="preserve">Is a status-change history stored for accounts (e.g. Active to Suspended)?</t>
  </si>
  <si>
    <t xml:space="preserve">Without history, activity before/after suspension cannot be separated</t>
  </si>
  <si>
    <t xml:space="preserve">Simulated Users has current status only</t>
  </si>
  <si>
    <t xml:space="preserve">A012</t>
  </si>
  <si>
    <t xml:space="preserve">Which external providers return completion/validation signals and with what delay?</t>
  </si>
  <si>
    <t xml:space="preserve">Third-party delay and reversals affect reward timing and KPIs</t>
  </si>
  <si>
    <t xml:space="preserve">A013</t>
  </si>
  <si>
    <t xml:space="preserve">How is a referral defined as "activated" and "converted"?</t>
  </si>
  <si>
    <t xml:space="preserve">Referral funnel stages cannot be computed without a business definition</t>
  </si>
  <si>
    <t xml:space="preserve">Brief §E (stage names only)</t>
  </si>
  <si>
    <t xml:space="preserve">A014</t>
  </si>
  <si>
    <t xml:space="preserve">Does the referral record capture the referring user (referrer user_id)?</t>
  </si>
  <si>
    <t xml:space="preserve">Simulated Users only holds referral_source_detail = Friend/Family and a code per user</t>
  </si>
  <si>
    <t xml:space="preserve">Data_01 Users</t>
  </si>
  <si>
    <t xml:space="preserve">A015</t>
  </si>
  <si>
    <t xml:space="preserve">What time zone are timestamps stored in?</t>
  </si>
  <si>
    <t xml:space="preserve">Day-level KPIs shift if UTC vs IST is mixed</t>
  </si>
  <si>
    <t xml:space="preserve">Data_01 (no zone shown)</t>
  </si>
  <si>
    <t xml:space="preserve">A016</t>
  </si>
  <si>
    <t xml:space="preserve">What is the reference timestamp for days_since_registration and the active flags?</t>
  </si>
  <si>
    <t xml:space="preserve">Derived fields could not be reproduced for a few users</t>
  </si>
  <si>
    <t xml:space="preserve">Data_01 dictionary</t>
  </si>
  <si>
    <t xml:space="preserve">Data owner of the dataset</t>
  </si>
  <si>
    <t xml:space="preserve">A017</t>
  </si>
  <si>
    <t xml:space="preserve">Is is_active based on login, any event, or a qualifying activity event?</t>
  </si>
  <si>
    <t xml:space="preserve">KPI definition of DAU/WAU/MAU</t>
  </si>
  <si>
    <t xml:space="preserve">Product / Analytics</t>
  </si>
  <si>
    <t xml:space="preserve">A018</t>
  </si>
  <si>
    <t xml:space="preserve">Is "platform" = Web a delivery channel while primary_device = OS family?</t>
  </si>
  <si>
    <t xml:space="preserve">Both fields exist; platform has a single value in the sample</t>
  </si>
  <si>
    <t xml:space="preserve">Low</t>
  </si>
  <si>
    <t xml:space="preserve">A019</t>
  </si>
  <si>
    <t xml:space="preserve">Can a Pending Verification account earn rewards?</t>
  </si>
  <si>
    <t xml:space="preserve">Task02 sample shows tasks for such accounts</t>
  </si>
  <si>
    <t xml:space="preserve">Supplementary data</t>
  </si>
  <si>
    <t xml:space="preserve">A020</t>
  </si>
  <si>
    <t xml:space="preserve">Can a Suspended account keep earning/withdrawing?</t>
  </si>
  <si>
    <t xml:space="preserve">Same, affects reversal and fraud-review reporting</t>
  </si>
  <si>
    <t xml:space="preserve">A021</t>
  </si>
  <si>
    <t xml:space="preserve">Is consent captured as a timestamped event or a current flag only?</t>
  </si>
  <si>
    <t xml:space="preserve">Privacy audit needs history</t>
  </si>
  <si>
    <t xml:space="preserve">Legal / Engineering</t>
  </si>
  <si>
    <t xml:space="preserve">A022</t>
  </si>
  <si>
    <t xml:space="preserve">Which user fields are legally necessary (name, email, age, gender, city)?</t>
  </si>
  <si>
    <t xml:space="preserve">Data minimisation for the analytics layer</t>
  </si>
  <si>
    <t xml:space="preserve">Brief §B2, §30</t>
  </si>
  <si>
    <t xml:space="preserve">Product / Legal</t>
  </si>
  <si>
    <t xml:space="preserve">A023</t>
  </si>
  <si>
    <t xml:space="preserve">Will support tickets / help-center content be tracked in-product or in an external tool?</t>
  </si>
  <si>
    <t xml:space="preserve">Support KPIs source system</t>
  </si>
  <si>
    <t xml:space="preserve">Operations</t>
  </si>
  <si>
    <t xml:space="preserve">A024</t>
  </si>
  <si>
    <t xml:space="preserve">Is an exchange (VE to Gem/Token) a wallet transaction type?</t>
  </si>
  <si>
    <t xml:space="preserve">Transaction-type list in D1</t>
  </si>
  <si>
    <t xml:space="preserve">Brief lists exchange functionality</t>
  </si>
  <si>
    <t xml:space="preserve">A025</t>
  </si>
  <si>
    <t xml:space="preserve">How long are raw events retained?</t>
  </si>
  <si>
    <t xml:space="preserve">Storage cost and reprocessing capability</t>
  </si>
  <si>
    <t xml:space="preserve">A026</t>
  </si>
  <si>
    <t xml:space="preserve">Does onboarding have defined milestones?</t>
  </si>
  <si>
    <t xml:space="preserve">onboarding_milestone_reached cannot be specified without them</t>
  </si>
  <si>
    <t xml:space="preserve">Data_01 (3 status values only)</t>
  </si>
  <si>
    <t xml:space="preserve">A027</t>
  </si>
  <si>
    <t xml:space="preserve">Are reward reversals and corrections performed manually by staff or automatically?</t>
  </si>
  <si>
    <t xml:space="preserve">Determines the actor field and audit needs</t>
  </si>
  <si>
    <t xml:space="preserve">A028</t>
  </si>
  <si>
    <t xml:space="preserve">What is the intended meaning of lifetime_sessions = 0 with onboarding Completed (23 users)?</t>
  </si>
  <si>
    <t xml:space="preserve">Possible data defect or onboarding completed outside a session</t>
  </si>
  <si>
    <t xml:space="preserve">Dataset owner</t>
  </si>
  <si>
    <t xml:space="preserve">A029</t>
  </si>
  <si>
    <t xml:space="preserve">Are mobile apps planned in addition to the web platform?</t>
  </si>
  <si>
    <t xml:space="preserve">platform / app_version fields</t>
  </si>
  <si>
    <t xml:space="preserve">Data_01 (platform = Web only)</t>
  </si>
  <si>
    <t xml:space="preserve">A030</t>
  </si>
  <si>
    <t xml:space="preserve">Is there an existing analytics tool or warehouse?</t>
  </si>
  <si>
    <t xml:space="preserve">Pipeline recommendation must fit current stack and cost</t>
  </si>
  <si>
    <t xml:space="preserve">A1 - Product Area Mapping</t>
  </si>
  <si>
    <t xml:space="preserve">Product Area</t>
  </si>
  <si>
    <t xml:space="preserve">Feature</t>
  </si>
  <si>
    <t xml:space="preserve">User Action</t>
  </si>
  <si>
    <t xml:space="preserve">System Outcome</t>
  </si>
  <si>
    <t xml:space="preserve">Data Required</t>
  </si>
  <si>
    <t xml:space="preserve">Business Question</t>
  </si>
  <si>
    <t xml:space="preserve">Account</t>
  </si>
  <si>
    <t xml:space="preserve">Registration</t>
  </si>
  <si>
    <t xml:space="preserve">User submits sign-up (web form or Google Sign-In)</t>
  </si>
  <si>
    <t xml:space="preserve">Account created; user_id issued</t>
  </si>
  <si>
    <t xml:space="preserve">user_id, registration_ts, account_created_via, acquisition_source, device, platform</t>
  </si>
  <si>
    <t xml:space="preserve">How many users join and from which channels?</t>
  </si>
  <si>
    <t xml:space="preserve">Email verification</t>
  </si>
  <si>
    <t xml:space="preserve">User confirms email</t>
  </si>
  <si>
    <t xml:space="preserve">Verification status updated</t>
  </si>
  <si>
    <t xml:space="preserve">user_id, verification_status, verified_ts</t>
  </si>
  <si>
    <t xml:space="preserve">What share of registrations verify and how fast?</t>
  </si>
  <si>
    <t xml:space="preserve">Login</t>
  </si>
  <si>
    <t xml:space="preserve">User signs in</t>
  </si>
  <si>
    <t xml:space="preserve">Session created</t>
  </si>
  <si>
    <t xml:space="preserve">user_id, session_id, login_ts, device, platform</t>
  </si>
  <si>
    <t xml:space="preserve">Who returns and how often?</t>
  </si>
  <si>
    <t xml:space="preserve">Logout</t>
  </si>
  <si>
    <t xml:space="preserve">User signs out</t>
  </si>
  <si>
    <t xml:space="preserve">Session closed</t>
  </si>
  <si>
    <t xml:space="preserve">user_id, session_id, logout_ts</t>
  </si>
  <si>
    <t xml:space="preserve">How long are sessions?</t>
  </si>
  <si>
    <t xml:space="preserve">Onboarding</t>
  </si>
  <si>
    <t xml:space="preserve">User starts/finishes onboarding</t>
  </si>
  <si>
    <t xml:space="preserve">Onboarding status updated</t>
  </si>
  <si>
    <t xml:space="preserve">user_id, onboarding_status, step, ts</t>
  </si>
  <si>
    <t xml:space="preserve">Where do new users drop off?</t>
  </si>
  <si>
    <t xml:space="preserve">Account status</t>
  </si>
  <si>
    <t xml:space="preserve">None (system or staff action)</t>
  </si>
  <si>
    <t xml:space="preserve">Status changed (Active/Inactive/Suspended/Pending Verification)</t>
  </si>
  <si>
    <t xml:space="preserve">user_id, old_status, new_status, reason_category, changed_by_type, ts</t>
  </si>
  <si>
    <t xml:space="preserve">How many accounts are suspended and why?</t>
  </si>
  <si>
    <t xml:space="preserve">Consent &amp; marketing preference</t>
  </si>
  <si>
    <t xml:space="preserve">User accepts consent / toggles marketing opt-in</t>
  </si>
  <si>
    <t xml:space="preserve">Consent record stored</t>
  </si>
  <si>
    <t xml:space="preserve">user_id, consent_status, marketing_opt_in, ts</t>
  </si>
  <si>
    <t xml:space="preserve">Is consent captured and auditable?</t>
  </si>
  <si>
    <t xml:space="preserve">Tasks</t>
  </si>
  <si>
    <t xml:space="preserve">Task discovery</t>
  </si>
  <si>
    <t xml:space="preserve">User sees a task</t>
  </si>
  <si>
    <t xml:space="preserve">Task listed</t>
  </si>
  <si>
    <t xml:space="preserve">user_id, task_id, task_type, feature, ts</t>
  </si>
  <si>
    <t xml:space="preserve">Which tasks get attention?</t>
  </si>
  <si>
    <t xml:space="preserve">Task open</t>
  </si>
  <si>
    <t xml:space="preserve">User opens task detail</t>
  </si>
  <si>
    <t xml:space="preserve">user_id, task_id, ts</t>
  </si>
  <si>
    <t xml:space="preserve">How many viewers open?</t>
  </si>
  <si>
    <t xml:space="preserve">Task start</t>
  </si>
  <si>
    <t xml:space="preserve">User starts the task</t>
  </si>
  <si>
    <t xml:space="preserve">Task attempt created</t>
  </si>
  <si>
    <t xml:space="preserve">user_id, task_id, task_activity_id, start_ts</t>
  </si>
  <si>
    <t xml:space="preserve">What is the start rate?</t>
  </si>
  <si>
    <t xml:space="preserve">Task completion</t>
  </si>
  <si>
    <t xml:space="preserve">User completes the action</t>
  </si>
  <si>
    <t xml:space="preserve">Completion validated (internal or external)</t>
  </si>
  <si>
    <t xml:space="preserve">user_id, task_id, task_activity_id, completion_ts, validation_status, reward_amount, reward_unit</t>
  </si>
  <si>
    <t xml:space="preserve">What share of starts complete validly?</t>
  </si>
  <si>
    <t xml:space="preserve">Task failure / abandonment</t>
  </si>
  <si>
    <t xml:space="preserve">User exits or action fails</t>
  </si>
  <si>
    <t xml:space="preserve">Failure classified</t>
  </si>
  <si>
    <t xml:space="preserve">task_activity_id, failure_category, failure_stage</t>
  </si>
  <si>
    <t xml:space="preserve">Why do attempts fail?</t>
  </si>
  <si>
    <t xml:space="preserve">Ads</t>
  </si>
  <si>
    <t xml:space="preserve">Watch Ads</t>
  </si>
  <si>
    <t xml:space="preserve">User plays an ad</t>
  </si>
  <si>
    <t xml:space="preserve">Ad provider returns completion</t>
  </si>
  <si>
    <t xml:space="preserve">user_id, ad_session_ref, provider_ref, status</t>
  </si>
  <si>
    <t xml:space="preserve">How reliable is ad completion?</t>
  </si>
  <si>
    <t xml:space="preserve">Earning</t>
  </si>
  <si>
    <t xml:space="preserve">Tap &amp; Earn / Mining / CAPTCHA / Follow &amp; Earn</t>
  </si>
  <si>
    <t xml:space="preserve">User performs the mechanic</t>
  </si>
  <si>
    <t xml:space="preserve">Activity counted; reward rule applied</t>
  </si>
  <si>
    <t xml:space="preserve">user_id, feature, activity_ts, reward_amount, reward_unit</t>
  </si>
  <si>
    <t xml:space="preserve">Which mechanics drive repeat use?</t>
  </si>
  <si>
    <t xml:space="preserve">Rewards</t>
  </si>
  <si>
    <t xml:space="preserve">Reward credit</t>
  </si>
  <si>
    <t xml:space="preserve">None (system action)</t>
  </si>
  <si>
    <t xml:space="preserve">Reward credited to wallet</t>
  </si>
  <si>
    <t xml:space="preserve">reward_id, user_id, source_ref, amount, unit, status, ts</t>
  </si>
  <si>
    <t xml:space="preserve">How much value is credited and from which feature?</t>
  </si>
  <si>
    <t xml:space="preserve">Reward pending</t>
  </si>
  <si>
    <t xml:space="preserve">Reward held for validation</t>
  </si>
  <si>
    <t xml:space="preserve">reward_id, pending_reason_category</t>
  </si>
  <si>
    <t xml:space="preserve">How long do rewards stay pending?</t>
  </si>
  <si>
    <t xml:space="preserve">Reward reversal / correction</t>
  </si>
  <si>
    <t xml:space="preserve">None (system/staff)</t>
  </si>
  <si>
    <t xml:space="preserve">Reward removed or amended</t>
  </si>
  <si>
    <t xml:space="preserve">reward_id, original_reward_id, reason_category, actor_type</t>
  </si>
  <si>
    <t xml:space="preserve">How often are rewards reversed?</t>
  </si>
  <si>
    <t xml:space="preserve">Engagement</t>
  </si>
  <si>
    <t xml:space="preserve">Daily reward</t>
  </si>
  <si>
    <t xml:space="preserve">User claims daily reward</t>
  </si>
  <si>
    <t xml:space="preserve">Reward issued</t>
  </si>
  <si>
    <t xml:space="preserve">user_id, claim_date, amount, unit</t>
  </si>
  <si>
    <t xml:space="preserve">How many users claim daily?</t>
  </si>
  <si>
    <t xml:space="preserve">Streaks</t>
  </si>
  <si>
    <t xml:space="preserve">User claims/loses streak</t>
  </si>
  <si>
    <t xml:space="preserve">Streak counter updated</t>
  </si>
  <si>
    <t xml:space="preserve">user_id, streak_length, change_type</t>
  </si>
  <si>
    <t xml:space="preserve">Do streaks lengthen retention?</t>
  </si>
  <si>
    <t xml:space="preserve">Missions</t>
  </si>
  <si>
    <t xml:space="preserve">User starts/completes mission</t>
  </si>
  <si>
    <t xml:space="preserve">Mission state updated</t>
  </si>
  <si>
    <t xml:space="preserve">user_id, mission_id, status</t>
  </si>
  <si>
    <t xml:space="preserve">Which missions complete?</t>
  </si>
  <si>
    <t xml:space="preserve">Spin the Wheel</t>
  </si>
  <si>
    <t xml:space="preserve">User spins</t>
  </si>
  <si>
    <t xml:space="preserve">Outcome drawn</t>
  </si>
  <si>
    <t xml:space="preserve">user_id, spin_id, outcome_type, reward</t>
  </si>
  <si>
    <t xml:space="preserve">Spin usage and outcome distribution?</t>
  </si>
  <si>
    <t xml:space="preserve">Badges, Levels / XP</t>
  </si>
  <si>
    <t xml:space="preserve">User action triggers progression</t>
  </si>
  <si>
    <t xml:space="preserve">Badge/level awarded</t>
  </si>
  <si>
    <t xml:space="preserve">user_id, badge_id/level, xp_delta</t>
  </si>
  <si>
    <t xml:space="preserve">Does progression change behaviour?</t>
  </si>
  <si>
    <t xml:space="preserve">Leaderboard</t>
  </si>
  <si>
    <t xml:space="preserve">User views ranking</t>
  </si>
  <si>
    <t xml:space="preserve">user_id, view_ts</t>
  </si>
  <si>
    <t xml:space="preserve">Is it used?</t>
  </si>
  <si>
    <t xml:space="preserve">Referrals</t>
  </si>
  <si>
    <t xml:space="preserve">Referral link/code</t>
  </si>
  <si>
    <t xml:space="preserve">User creates or shares referral</t>
  </si>
  <si>
    <t xml:space="preserve">Referral record created</t>
  </si>
  <si>
    <t xml:space="preserve">referral_id, referrer_user_id, created_ts</t>
  </si>
  <si>
    <t xml:space="preserve">How many invites are generated?</t>
  </si>
  <si>
    <t xml:space="preserve">Referral registration &amp; activation</t>
  </si>
  <si>
    <t xml:space="preserve">Invitee registers and becomes active</t>
  </si>
  <si>
    <t xml:space="preserve">Referral stages advance</t>
  </si>
  <si>
    <t xml:space="preserve">referral_id, referred_user_id, stage_ts</t>
  </si>
  <si>
    <t xml:space="preserve">What share of referrals convert?</t>
  </si>
  <si>
    <t xml:space="preserve">Wallet</t>
  </si>
  <si>
    <t xml:space="preserve">Wallet transactions</t>
  </si>
  <si>
    <t xml:space="preserve">None (system) or exchange by user</t>
  </si>
  <si>
    <t xml:space="preserve">Ledger entry created/completed/reversed</t>
  </si>
  <si>
    <t xml:space="preserve">transaction_id, user_id, type, amount, unit, status, reference_id, related_transaction_id</t>
  </si>
  <si>
    <t xml:space="preserve">Does the ledger reconcile?</t>
  </si>
  <si>
    <t xml:space="preserve">Exchange</t>
  </si>
  <si>
    <t xml:space="preserve">User exchanges one unit for another</t>
  </si>
  <si>
    <t xml:space="preserve">Exchange rule applied</t>
  </si>
  <si>
    <t xml:space="preserve">user_id, from_unit, to_unit, amounts</t>
  </si>
  <si>
    <t xml:space="preserve">Exchange usage?</t>
  </si>
  <si>
    <t xml:space="preserve">Withdrawals</t>
  </si>
  <si>
    <t xml:space="preserve">Withdrawal request</t>
  </si>
  <si>
    <t xml:space="preserve">User requests payout</t>
  </si>
  <si>
    <t xml:space="preserve">Request recorded</t>
  </si>
  <si>
    <t xml:space="preserve">withdrawal_id, user_id, amount, unit, method, requested_ts</t>
  </si>
  <si>
    <t xml:space="preserve">How many requests and how large?</t>
  </si>
  <si>
    <t xml:space="preserve">Withdrawal processing/completion/rejection/reversal</t>
  </si>
  <si>
    <t xml:space="preserve">Review, payout, rejection or reversal</t>
  </si>
  <si>
    <t xml:space="preserve">withdrawal_id, status, reason_category, processing_ts, final_ts</t>
  </si>
  <si>
    <t xml:space="preserve">How long do payouts take and why are they rejected?</t>
  </si>
  <si>
    <t xml:space="preserve">Support</t>
  </si>
  <si>
    <t xml:space="preserve">Help center</t>
  </si>
  <si>
    <t xml:space="preserve">User opens help article</t>
  </si>
  <si>
    <t xml:space="preserve">user_id, article_category, ts</t>
  </si>
  <si>
    <t xml:space="preserve">Which topics generate demand?</t>
  </si>
  <si>
    <t xml:space="preserve">Support request</t>
  </si>
  <si>
    <t xml:space="preserve">User creates ticket</t>
  </si>
  <si>
    <t xml:space="preserve">Ticket created</t>
  </si>
  <si>
    <t xml:space="preserve">ticket_id, user_id, issue_category</t>
  </si>
  <si>
    <t xml:space="preserve">What drives tickets?</t>
  </si>
  <si>
    <t xml:space="preserve">A4 - Data Coverage Matrix</t>
  </si>
  <si>
    <t xml:space="preserve">System Action</t>
  </si>
  <si>
    <t xml:space="preserve">Business Outcome</t>
  </si>
  <si>
    <t xml:space="preserve">Proposed Event</t>
  </si>
  <si>
    <t xml:space="preserve">Priority</t>
  </si>
  <si>
    <t xml:space="preserve">New user exists</t>
  </si>
  <si>
    <t xml:space="preserve">user_registered</t>
  </si>
  <si>
    <t xml:space="preserve">Backend</t>
  </si>
  <si>
    <t xml:space="preserve">Account becomes verified</t>
  </si>
  <si>
    <t xml:space="preserve">email_verified</t>
  </si>
  <si>
    <t xml:space="preserve">Returning visit</t>
  </si>
  <si>
    <t xml:space="preserve">user_logged_in</t>
  </si>
  <si>
    <t xml:space="preserve">Session end captured</t>
  </si>
  <si>
    <t xml:space="preserve">user_logged_out</t>
  </si>
  <si>
    <t xml:space="preserve">Frontend</t>
  </si>
  <si>
    <t xml:space="preserve">Activated user</t>
  </si>
  <si>
    <t xml:space="preserve">onboarding_started / onboarding_completed</t>
  </si>
  <si>
    <t xml:space="preserve">Frontend + Backend</t>
  </si>
  <si>
    <t xml:space="preserve">Eligibility to earn/withdraw changes</t>
  </si>
  <si>
    <t xml:space="preserve">account_status_changed</t>
  </si>
  <si>
    <t xml:space="preserve">Compliance evidence</t>
  </si>
  <si>
    <t xml:space="preserve">consent_updated</t>
  </si>
  <si>
    <t xml:space="preserve">Task exposure</t>
  </si>
  <si>
    <t xml:space="preserve">task_viewed</t>
  </si>
  <si>
    <t xml:space="preserve">Interest</t>
  </si>
  <si>
    <t xml:space="preserve">task_opened</t>
  </si>
  <si>
    <t xml:space="preserve">Attempt</t>
  </si>
  <si>
    <t xml:space="preserve">task_started</t>
  </si>
  <si>
    <t xml:space="preserve">Valid completion</t>
  </si>
  <si>
    <t xml:space="preserve">task_completed</t>
  </si>
  <si>
    <t xml:space="preserve">Lost attempt</t>
  </si>
  <si>
    <t xml:space="preserve">task_failed / task_abandoned</t>
  </si>
  <si>
    <t xml:space="preserve">Ad impression/reward trigger</t>
  </si>
  <si>
    <t xml:space="preserve">task_* with task_type = advertisement</t>
  </si>
  <si>
    <t xml:space="preserve">Micro reward</t>
  </si>
  <si>
    <t xml:space="preserve">task_* or feature-specific event (decision pending A006)</t>
  </si>
  <si>
    <t xml:space="preserve">Value delivered</t>
  </si>
  <si>
    <t xml:space="preserve">reward_credited</t>
  </si>
  <si>
    <t xml:space="preserve">Delay visible</t>
  </si>
  <si>
    <t xml:space="preserve">reward_pending</t>
  </si>
  <si>
    <t xml:space="preserve">Integrity</t>
  </si>
  <si>
    <t xml:space="preserve">reward_reversed / reward_corrected</t>
  </si>
  <si>
    <t xml:space="preserve">Habit</t>
  </si>
  <si>
    <t xml:space="preserve">daily_reward_claimed</t>
  </si>
  <si>
    <t xml:space="preserve">Retention mechanic</t>
  </si>
  <si>
    <t xml:space="preserve">streak_updated</t>
  </si>
  <si>
    <t xml:space="preserve">Goal completion</t>
  </si>
  <si>
    <t xml:space="preserve">mission_started / mission_completed</t>
  </si>
  <si>
    <t xml:space="preserve">Bonus</t>
  </si>
  <si>
    <t xml:space="preserve">spin_started / spin_completed</t>
  </si>
  <si>
    <t xml:space="preserve">Progression</t>
  </si>
  <si>
    <t xml:space="preserve">badge_earned / level_increased</t>
  </si>
  <si>
    <t xml:space="preserve">Social comparison</t>
  </si>
  <si>
    <t xml:space="preserve">feature_viewed (feature = leaderboard)</t>
  </si>
  <si>
    <t xml:space="preserve">Invite</t>
  </si>
  <si>
    <t xml:space="preserve">referral_created</t>
  </si>
  <si>
    <t xml:space="preserve">Referred growth</t>
  </si>
  <si>
    <t xml:space="preserve">referral_registered / referral_activated / referral_converted</t>
  </si>
  <si>
    <t xml:space="preserve">Balance change</t>
  </si>
  <si>
    <t xml:space="preserve">wallet_transaction_created / _completed / _reversed</t>
  </si>
  <si>
    <t xml:space="preserve">Conversion</t>
  </si>
  <si>
    <t xml:space="preserve">exchange_completed</t>
  </si>
  <si>
    <t xml:space="preserve">Payout demand</t>
  </si>
  <si>
    <t xml:space="preserve">withdrawal_requested</t>
  </si>
  <si>
    <t xml:space="preserve">Trust event</t>
  </si>
  <si>
    <t xml:space="preserve">withdrawal_processing / completed / rejected / reversed</t>
  </si>
  <si>
    <t xml:space="preserve">Self-service demand</t>
  </si>
  <si>
    <t xml:space="preserve">help_article_viewed</t>
  </si>
  <si>
    <t xml:space="preserve">Support load</t>
  </si>
  <si>
    <t xml:space="preserve">support_ticket_created</t>
  </si>
  <si>
    <t xml:space="preserve">Support tool</t>
  </si>
  <si>
    <t xml:space="preserve">Analytics Gaps (10+ required, 14 identified)</t>
  </si>
  <si>
    <t xml:space="preserve">Gap ID</t>
  </si>
  <si>
    <t xml:space="preserve">Analytics Gap</t>
  </si>
  <si>
    <t xml:space="preserve">Affects</t>
  </si>
  <si>
    <t xml:space="preserve">Reason for Priority</t>
  </si>
  <si>
    <t xml:space="preserve">AG01</t>
  </si>
  <si>
    <t xml:space="preserve">No verified stable event_id and no idempotency design</t>
  </si>
  <si>
    <t xml:space="preserve">All event KPIs</t>
  </si>
  <si>
    <t xml:space="preserve">Without a unique event_id, duplicates cannot be removed; the supplementary audit file contains 10 duplicated event rows.</t>
  </si>
  <si>
    <t xml:space="preserve">AG02</t>
  </si>
  <si>
    <t xml:space="preserve">Wallet transaction_id and ledger design unverified</t>
  </si>
  <si>
    <t xml:space="preserve">Wallet, rewards, withdrawals</t>
  </si>
  <si>
    <t xml:space="preserve">Without a stable transaction ID reliable deduplication and balance reconciliation cannot be guaranteed.</t>
  </si>
  <si>
    <t xml:space="preserve">AG03</t>
  </si>
  <si>
    <t xml:space="preserve">No referrer-to-referred link in supplied Users data (only "Friend/Family" label and one code per user)</t>
  </si>
  <si>
    <t xml:space="preserve">Referral KPIs</t>
  </si>
  <si>
    <t xml:space="preserve">Referral conversion cannot be computed without referrer and referred user IDs.</t>
  </si>
  <si>
    <t xml:space="preserve">AG04</t>
  </si>
  <si>
    <t xml:space="preserve">No account status-change history</t>
  </si>
  <si>
    <t xml:space="preserve">User lifecycle, fraud/suspension reporting</t>
  </si>
  <si>
    <t xml:space="preserve">Current status alone cannot show whether activity occurred before or after suspension (25 simulated suspended users show 30-day activity).</t>
  </si>
  <si>
    <t xml:space="preserve">AG05</t>
  </si>
  <si>
    <t xml:space="preserve">Reward credited vs activity occurred not separable in Task 01 data</t>
  </si>
  <si>
    <t xml:space="preserve">Reward KPIs</t>
  </si>
  <si>
    <t xml:space="preserve">No Rewards sheet was supplied; reward value cannot be reconciled with completions.</t>
  </si>
  <si>
    <t xml:space="preserve">AG06</t>
  </si>
  <si>
    <t xml:space="preserve">Withdrawal lifecycle timestamps not available</t>
  </si>
  <si>
    <t xml:space="preserve">Withdrawal KPIs</t>
  </si>
  <si>
    <t xml:space="preserve">Processing time, pending queue and completion rate need requested/processing/final timestamps.</t>
  </si>
  <si>
    <t xml:space="preserve">AG07</t>
  </si>
  <si>
    <t xml:space="preserve">Session ID not verified in production</t>
  </si>
  <si>
    <t xml:space="preserve">Session and funnel analysis</t>
  </si>
  <si>
    <t xml:space="preserve">Funnel steps cannot be tied to one visit without a session identifier.</t>
  </si>
  <si>
    <t xml:space="preserve">AG08</t>
  </si>
  <si>
    <t xml:space="preserve">Failure classification does not exist (only proposed)</t>
  </si>
  <si>
    <t xml:space="preserve">Task failure analysis</t>
  </si>
  <si>
    <t xml:space="preserve">Failure reasons need a controlled list agreed with Engineering.</t>
  </si>
  <si>
    <t xml:space="preserve">AG09</t>
  </si>
  <si>
    <t xml:space="preserve">Derived-field definitions undocumented (active flags, days since registration)</t>
  </si>
  <si>
    <t xml:space="preserve">User KPIs</t>
  </si>
  <si>
    <t xml:space="preserve">Flags could not be reproduced for 8-9 users; KPI definitions would drift.</t>
  </si>
  <si>
    <t xml:space="preserve">AG10</t>
  </si>
  <si>
    <t xml:space="preserve">Timezone and timestamp standard unknown</t>
  </si>
  <si>
    <t xml:space="preserve">Daily KPIs</t>
  </si>
  <si>
    <t xml:space="preserve">Mixed zones shift day boundaries; malformed dates exist in the audit sheet.</t>
  </si>
  <si>
    <t xml:space="preserve">AG11</t>
  </si>
  <si>
    <t xml:space="preserve">No event for onboarding milestones beyond three status values</t>
  </si>
  <si>
    <t xml:space="preserve">Onboarding funnel</t>
  </si>
  <si>
    <t xml:space="preserve">Drop-off location cannot be found.</t>
  </si>
  <si>
    <t xml:space="preserve">AG12</t>
  </si>
  <si>
    <t xml:space="preserve">Third-party outcome signals not defined</t>
  </si>
  <si>
    <t xml:space="preserve">Ads/surveys/offers/games reward KPIs</t>
  </si>
  <si>
    <t xml:space="preserve">External delays and reversals would be wrongly attributed to VELOOP.</t>
  </si>
  <si>
    <t xml:space="preserve">AG13</t>
  </si>
  <si>
    <t xml:space="preserve">Support/help-center tracking unknown</t>
  </si>
  <si>
    <t xml:space="preserve">Support KPIs</t>
  </si>
  <si>
    <t xml:space="preserve">No source system identified.</t>
  </si>
  <si>
    <t xml:space="preserve">AG14</t>
  </si>
  <si>
    <t xml:space="preserve">Consent history not stored (current flag only)</t>
  </si>
  <si>
    <t xml:space="preserve">Privacy / compliance reporting</t>
  </si>
  <si>
    <t xml:space="preserve">Audit of consent timing impossible.</t>
  </si>
  <si>
    <t xml:space="preserve">B2 - User Analytics Specification</t>
  </si>
  <si>
    <t xml:space="preserve">Field</t>
  </si>
  <si>
    <t xml:space="preserve">Type</t>
  </si>
  <si>
    <t xml:space="preserve">Required?</t>
  </si>
  <si>
    <t xml:space="preserve">Purpose</t>
  </si>
  <si>
    <t xml:space="preserve">Validation</t>
  </si>
  <si>
    <t xml:space="preserve">user_id</t>
  </si>
  <si>
    <t xml:space="preserve">String</t>
  </si>
  <si>
    <t xml:space="preserve">Yes</t>
  </si>
  <si>
    <t xml:space="preserve">Stable join key</t>
  </si>
  <si>
    <t xml:space="preserve">Simulated dataset (Data_01)</t>
  </si>
  <si>
    <t xml:space="preserve">Unique; not null; immutable</t>
  </si>
  <si>
    <t xml:space="preserve">Confirmed (simulated structure)</t>
  </si>
  <si>
    <t xml:space="preserve">full_name</t>
  </si>
  <si>
    <t xml:space="preserve">No - excluded from analytics layer</t>
  </si>
  <si>
    <t xml:space="preserve">Not required for any KPI; personal data (brief section 9: no unnecessary personal information)</t>
  </si>
  <si>
    <t xml:space="preserve">Exclude, or store a one-way hash of email for de-duplication only</t>
  </si>
  <si>
    <t xml:space="preserve">Proposed exclusion</t>
  </si>
  <si>
    <t xml:space="preserve">email</t>
  </si>
  <si>
    <t xml:space="preserve">age</t>
  </si>
  <si>
    <t xml:space="preserve">Integer</t>
  </si>
  <si>
    <t xml:space="preserve">No</t>
  </si>
  <si>
    <t xml:space="preserve">Optional segmentation</t>
  </si>
  <si>
    <t xml:space="preserve">&gt;=18</t>
  </si>
  <si>
    <t xml:space="preserve">gender</t>
  </si>
  <si>
    <t xml:space="preserve">Category</t>
  </si>
  <si>
    <t xml:space="preserve">Controlled list</t>
  </si>
  <si>
    <t xml:space="preserve">state</t>
  </si>
  <si>
    <t xml:space="preserve">Geography</t>
  </si>
  <si>
    <t xml:space="preserve">City-state consistency</t>
  </si>
  <si>
    <t xml:space="preserve">city</t>
  </si>
  <si>
    <t xml:space="preserve">Geography (optional)</t>
  </si>
  <si>
    <t xml:space="preserve">City belongs to state</t>
  </si>
  <si>
    <t xml:space="preserve">registration_datetime</t>
  </si>
  <si>
    <t xml:space="preserve">Datetime</t>
  </si>
  <si>
    <t xml:space="preserve">Cohorts and registration KPIs</t>
  </si>
  <si>
    <t xml:space="preserve">Valid ISO datetime; zone documented</t>
  </si>
  <si>
    <t xml:space="preserve">acquisition_source</t>
  </si>
  <si>
    <t xml:space="preserve">Channel analysis</t>
  </si>
  <si>
    <t xml:space="preserve">referral_source_detail</t>
  </si>
  <si>
    <t xml:space="preserve">Conditional</t>
  </si>
  <si>
    <t xml:space="preserve">Referral detail</t>
  </si>
  <si>
    <t xml:space="preserve">Required only if acquisition_source = Referral</t>
  </si>
  <si>
    <t xml:space="preserve">primary_device</t>
  </si>
  <si>
    <t xml:space="preserve">Platform priorities</t>
  </si>
  <si>
    <t xml:space="preserve">platform</t>
  </si>
  <si>
    <t xml:space="preserve">Platform mix</t>
  </si>
  <si>
    <t xml:space="preserve">Controlled list (single value in sample)</t>
  </si>
  <si>
    <t xml:space="preserve">account_status</t>
  </si>
  <si>
    <t xml:space="preserve">Lifecycle state</t>
  </si>
  <si>
    <t xml:space="preserve">email_verification_status</t>
  </si>
  <si>
    <t xml:space="preserve">Verification funnel</t>
  </si>
  <si>
    <t xml:space="preserve">onboarding_status</t>
  </si>
  <si>
    <t xml:space="preserve">Activation funnel</t>
  </si>
  <si>
    <t xml:space="preserve">last_login_datetime</t>
  </si>
  <si>
    <t xml:space="preserve">Recency</t>
  </si>
  <si>
    <t xml:space="preserve">&gt;= registration_datetime; &lt;= data end</t>
  </si>
  <si>
    <t xml:space="preserve">lifetime_sessions</t>
  </si>
  <si>
    <t xml:space="preserve">Usage depth</t>
  </si>
  <si>
    <t xml:space="preserve">active_days &lt;= lifetime_sessions</t>
  </si>
  <si>
    <t xml:space="preserve">active_days</t>
  </si>
  <si>
    <t xml:space="preserve">Regularity</t>
  </si>
  <si>
    <t xml:space="preserve">&lt;= lifetime_sessions</t>
  </si>
  <si>
    <t xml:space="preserve">xp_balance</t>
  </si>
  <si>
    <t xml:space="preserve">Non-negative</t>
  </si>
  <si>
    <t xml:space="preserve">referral_code</t>
  </si>
  <si>
    <t xml:space="preserve">Referral attribution</t>
  </si>
  <si>
    <t xml:space="preserve">Unique; not null</t>
  </si>
  <si>
    <t xml:space="preserve">days_since_registration</t>
  </si>
  <si>
    <t xml:space="preserve">Decimal</t>
  </si>
  <si>
    <t xml:space="preserve">Derived</t>
  </si>
  <si>
    <t xml:space="preserve">Tenure (derived)</t>
  </si>
  <si>
    <t xml:space="preserve">Reference timestamp must be documented (A016)</t>
  </si>
  <si>
    <t xml:space="preserve">is_active_7d</t>
  </si>
  <si>
    <t xml:space="preserve">Active-user KPI (derived)</t>
  </si>
  <si>
    <t xml:space="preserve">Definition to be confirmed (A017)</t>
  </si>
  <si>
    <t xml:space="preserve">is_active_30d</t>
  </si>
  <si>
    <t xml:space="preserve">Same as above</t>
  </si>
  <si>
    <t xml:space="preserve">consent_status</t>
  </si>
  <si>
    <t xml:space="preserve">Compliance</t>
  </si>
  <si>
    <t xml:space="preserve">marketing_opt_in</t>
  </si>
  <si>
    <t xml:space="preserve">Communication eligibility</t>
  </si>
  <si>
    <t xml:space="preserve">Controlled list; opt-in only if consent Accepted</t>
  </si>
  <si>
    <t xml:space="preserve">account_created_via</t>
  </si>
  <si>
    <t xml:space="preserve">Registration method</t>
  </si>
  <si>
    <t xml:space="preserve">country</t>
  </si>
  <si>
    <t xml:space="preserve">B1 - Identifier Requirements</t>
  </si>
  <si>
    <t xml:space="preserve">Identifier</t>
  </si>
  <si>
    <t xml:space="preserve">Definition</t>
  </si>
  <si>
    <t xml:space="preserve">Why Needed</t>
  </si>
  <si>
    <t xml:space="preserve">Rule</t>
  </si>
  <si>
    <t xml:space="preserve">Stable, immutable, non-personal identifier of one account</t>
  </si>
  <si>
    <t xml:space="preserve">Joins every entity; must not be email or name</t>
  </si>
  <si>
    <t xml:space="preserve">Unique per account; never reused</t>
  </si>
  <si>
    <t xml:space="preserve">event_id</t>
  </si>
  <si>
    <t xml:space="preserve">Unique id of one recorded event (UUID)</t>
  </si>
  <si>
    <t xml:space="preserve">Detect and remove duplicate/replayed events</t>
  </si>
  <si>
    <t xml:space="preserve">Generated once per event; idempotent on retry</t>
  </si>
  <si>
    <t xml:space="preserve">session_id</t>
  </si>
  <si>
    <t xml:space="preserve">Groups events of one visit</t>
  </si>
  <si>
    <t xml:space="preserve">Funnels, session length, entry/exit analysis (existence unverified - A004)</t>
  </si>
  <si>
    <t xml:space="preserve">Created at login; closed on logout/timeout</t>
  </si>
  <si>
    <t xml:space="preserve">transaction_id</t>
  </si>
  <si>
    <t xml:space="preserve">Unique id of one wallet ledger entry</t>
  </si>
  <si>
    <t xml:space="preserve">Reconciliation, de-duplication, reversal linking (A009)</t>
  </si>
  <si>
    <t xml:space="preserve">Immutable; reversals reference original</t>
  </si>
  <si>
    <t xml:space="preserve">task_activity_id</t>
  </si>
  <si>
    <t xml:space="preserve">One attempt at a task</t>
  </si>
  <si>
    <t xml:space="preserve">Task funnel; idempotency key for task_completed</t>
  </si>
  <si>
    <t xml:space="preserve">One per attempt</t>
  </si>
  <si>
    <t xml:space="preserve">reward_id</t>
  </si>
  <si>
    <t xml:space="preserve">One reward record</t>
  </si>
  <si>
    <t xml:space="preserve">Separates reward credited from activity occurred</t>
  </si>
  <si>
    <t xml:space="preserve">One per reward</t>
  </si>
  <si>
    <t xml:space="preserve">withdrawal_id</t>
  </si>
  <si>
    <t xml:space="preserve">One payout request</t>
  </si>
  <si>
    <t xml:space="preserve">Withdrawal lifecycle</t>
  </si>
  <si>
    <t xml:space="preserve">One per request</t>
  </si>
  <si>
    <t xml:space="preserve">referral_id</t>
  </si>
  <si>
    <t xml:space="preserve">One referral relationship</t>
  </si>
  <si>
    <t xml:space="preserve">Referral funnel</t>
  </si>
  <si>
    <t xml:space="preserve">One per referrer-referred pair</t>
  </si>
  <si>
    <t xml:space="preserve">Lifecycle requirements</t>
  </si>
  <si>
    <t xml:space="preserve">user_id, registration timestamp, registration method, acquisition source, device/platform; referral code used if any</t>
  </si>
  <si>
    <t xml:space="preserve">login event, timestamp, session identifier (if verified), device/platform</t>
  </si>
  <si>
    <t xml:space="preserve">started, completed and (once defined, A026) important milestones</t>
  </si>
  <si>
    <t xml:space="preserve">Account lifecycle</t>
  </si>
  <si>
    <t xml:space="preserve">account created, status, status changes with timestamp and category, last activity, lifecycle timestamps</t>
  </si>
  <si>
    <t xml:space="preserve">F - Production Event Tracking Plan (42 proposed events)</t>
  </si>
  <si>
    <t xml:space="preserve">Event Name</t>
  </si>
  <si>
    <t xml:space="preserve">Domain</t>
  </si>
  <si>
    <t xml:space="preserve">Event Class</t>
  </si>
  <si>
    <t xml:space="preserve">Trigger</t>
  </si>
  <si>
    <t xml:space="preserve">User ID</t>
  </si>
  <si>
    <t xml:space="preserve">Event ID</t>
  </si>
  <si>
    <t xml:space="preserve">Timestamp</t>
  </si>
  <si>
    <t xml:space="preserve">Status Values</t>
  </si>
  <si>
    <t xml:space="preserve">Required Properties (type)</t>
  </si>
  <si>
    <t xml:space="preserve">Optional Properties (type)</t>
  </si>
  <si>
    <t xml:space="preserve">Business Purpose</t>
  </si>
  <si>
    <t xml:space="preserve">KPI Dependency</t>
  </si>
  <si>
    <t xml:space="preserve">Implementation Status</t>
  </si>
  <si>
    <t xml:space="preserve">Observed in Simulated Data As</t>
  </si>
  <si>
    <t xml:space="preserve">account</t>
  </si>
  <si>
    <t xml:space="preserve">registration</t>
  </si>
  <si>
    <t xml:space="preserve">User Event</t>
  </si>
  <si>
    <t xml:space="preserve">Account record is successfully created</t>
  </si>
  <si>
    <t xml:space="preserve">A new account exists with a permanent user_id</t>
  </si>
  <si>
    <t xml:space="preserve">Required: user_id (string)</t>
  </si>
  <si>
    <t xml:space="preserve">Required: event_id (string, UUID)</t>
  </si>
  <si>
    <t xml:space="preserve">Required: event_ts (UTC ISO-8601)</t>
  </si>
  <si>
    <t xml:space="preserve">registration_method (enum: web_form, google_sign_in), acquisition_source (enum), device_type (enum), platform (enum)</t>
  </si>
  <si>
    <t xml:space="preserve">referral_code_used (string), campaign_ref (string)</t>
  </si>
  <si>
    <t xml:space="preserve">user_id unique; registration_method in list; one event per user_id</t>
  </si>
  <si>
    <t xml:space="preserve">Count new users and acquisition mix</t>
  </si>
  <si>
    <t xml:space="preserve">K-U01, K-U02, K-U10</t>
  </si>
  <si>
    <t xml:space="preserve">Users.registration_datetime (no event stream)</t>
  </si>
  <si>
    <t xml:space="preserve">verification</t>
  </si>
  <si>
    <t xml:space="preserve">User confirms email successfully</t>
  </si>
  <si>
    <t xml:space="preserve">Email verification status changes to Verified</t>
  </si>
  <si>
    <t xml:space="preserve">verification_method (enum)</t>
  </si>
  <si>
    <t xml:space="preserve">seconds_since_registration (int)</t>
  </si>
  <si>
    <t xml:space="preserve">one per user_id; after user_registered</t>
  </si>
  <si>
    <t xml:space="preserve">Measure verification rate and speed</t>
  </si>
  <si>
    <t xml:space="preserve">K-U05</t>
  </si>
  <si>
    <t xml:space="preserve">login</t>
  </si>
  <si>
    <t xml:space="preserve">Authenticated session is created</t>
  </si>
  <si>
    <t xml:space="preserve">session_id (string), device_type (enum), platform (enum)</t>
  </si>
  <si>
    <t xml:space="preserve">login_method (enum)</t>
  </si>
  <si>
    <t xml:space="preserve">session_id unique per login; user must exist</t>
  </si>
  <si>
    <t xml:space="preserve">Returning-user and active-user KPIs</t>
  </si>
  <si>
    <t xml:space="preserve">K-U03, K-U04, K-U06</t>
  </si>
  <si>
    <t xml:space="preserve">User explicitly signs out</t>
  </si>
  <si>
    <t xml:space="preserve">Session closed by user</t>
  </si>
  <si>
    <t xml:space="preserve">session_id (string)</t>
  </si>
  <si>
    <t xml:space="preserve">session_id must match an open session; not emitted on timeout</t>
  </si>
  <si>
    <t xml:space="preserve">Session length where explicit</t>
  </si>
  <si>
    <t xml:space="preserve">K-E09</t>
  </si>
  <si>
    <t xml:space="preserve">onboarding_started</t>
  </si>
  <si>
    <t xml:space="preserve">onboarding</t>
  </si>
  <si>
    <t xml:space="preserve">First onboarding screen shown</t>
  </si>
  <si>
    <t xml:space="preserve">User begins onboarding</t>
  </si>
  <si>
    <t xml:space="preserve">one per user_id</t>
  </si>
  <si>
    <t xml:space="preserve">Onboarding funnel entry</t>
  </si>
  <si>
    <t xml:space="preserve">K-U07</t>
  </si>
  <si>
    <t xml:space="preserve">onboarding_completed</t>
  </si>
  <si>
    <t xml:space="preserve">Final required onboarding step done</t>
  </si>
  <si>
    <t xml:space="preserve">User finished onboarding</t>
  </si>
  <si>
    <t xml:space="preserve">session_id (string), steps_completed (int)</t>
  </si>
  <si>
    <t xml:space="preserve">duration_seconds (int)</t>
  </si>
  <si>
    <t xml:space="preserve">after onboarding_started; one per user_id</t>
  </si>
  <si>
    <t xml:space="preserve">Activation measure</t>
  </si>
  <si>
    <t xml:space="preserve">System Event</t>
  </si>
  <si>
    <t xml:space="preserve">Account status value is modified</t>
  </si>
  <si>
    <t xml:space="preserve">Records old and new account status</t>
  </si>
  <si>
    <t xml:space="preserve">old_status (enum), new_status (enum), change_reason_category (enum), changed_by_type (enum: system, staff, user)</t>
  </si>
  <si>
    <t xml:space="preserve">change_reference (string)</t>
  </si>
  <si>
    <t xml:space="preserve">old_status != new_status; values in approved list</t>
  </si>
  <si>
    <t xml:space="preserve">Lifecycle and suspension reporting</t>
  </si>
  <si>
    <t xml:space="preserve">K-U08, K-U09</t>
  </si>
  <si>
    <t xml:space="preserve">consent</t>
  </si>
  <si>
    <t xml:space="preserve">Consent or marketing preference saved</t>
  </si>
  <si>
    <t xml:space="preserve">Consent state changed</t>
  </si>
  <si>
    <t xml:space="preserve">consent_status (enum), marketing_opt_in (bool)</t>
  </si>
  <si>
    <t xml:space="preserve">consent_version (string)</t>
  </si>
  <si>
    <t xml:space="preserve">values in list</t>
  </si>
  <si>
    <t xml:space="preserve">K-U11</t>
  </si>
  <si>
    <t xml:space="preserve">tasks</t>
  </si>
  <si>
    <t xml:space="preserve">task_catalog</t>
  </si>
  <si>
    <t xml:space="preserve">Task card is shown on screen</t>
  </si>
  <si>
    <t xml:space="preserve">User was shown a task</t>
  </si>
  <si>
    <t xml:space="preserve">task_id (string), task_type (enum), feature (enum), session_id (string)</t>
  </si>
  <si>
    <t xml:space="preserve">position_in_list (int)</t>
  </si>
  <si>
    <t xml:space="preserve">task_id exists in task catalog</t>
  </si>
  <si>
    <t xml:space="preserve">Funnel top</t>
  </si>
  <si>
    <t xml:space="preserve">K-E02</t>
  </si>
  <si>
    <t xml:space="preserve">tasks.task_viewed_at</t>
  </si>
  <si>
    <t xml:space="preserve">Task details opened</t>
  </si>
  <si>
    <t xml:space="preserve">User opened a task</t>
  </si>
  <si>
    <t xml:space="preserve">task_id (string), task_type (enum), session_id (string)</t>
  </si>
  <si>
    <t xml:space="preserve">after task_viewed (same session preferred)</t>
  </si>
  <si>
    <t xml:space="preserve">User began an attempt</t>
  </si>
  <si>
    <t xml:space="preserve">task_activity_id (string), task_id (string), task_type (enum), feature (enum), session_id (string)</t>
  </si>
  <si>
    <t xml:space="preserve">provider_ref (string)</t>
  </si>
  <si>
    <t xml:space="preserve">one task_activity_id per attempt</t>
  </si>
  <si>
    <t xml:space="preserve">Starts and completion rate denominator</t>
  </si>
  <si>
    <t xml:space="preserve">K-E01, K-E03</t>
  </si>
  <si>
    <t xml:space="preserve">tasks.task_started_at</t>
  </si>
  <si>
    <t xml:space="preserve">Completion has passed the applicable validation process</t>
  </si>
  <si>
    <t xml:space="preserve">A valid completion of a task attempt</t>
  </si>
  <si>
    <t xml:space="preserve">task_activity_id (string), task_id (string), task_type (enum), feature (enum), status (enum: completed), validation_status (enum), reward_amount (decimal), reward_unit (enum)</t>
  </si>
  <si>
    <t xml:space="preserve">provider_ref (string), duration_seconds (int)</t>
  </si>
  <si>
    <t xml:space="preserve">exactly one event per task_activity_id; completion_ts &gt;= start_ts; reward fields present when reward applies</t>
  </si>
  <si>
    <t xml:space="preserve">Primary earning outcome</t>
  </si>
  <si>
    <t xml:space="preserve">K-E03, K-E04, K-R01</t>
  </si>
  <si>
    <t xml:space="preserve">tasks.task_completed_at (status Completed)</t>
  </si>
  <si>
    <t xml:space="preserve">task_failed</t>
  </si>
  <si>
    <t xml:space="preserve">Attempt ends with an error or rejected validation</t>
  </si>
  <si>
    <t xml:space="preserve">Attempt did not succeed</t>
  </si>
  <si>
    <t xml:space="preserve">task_activity_id (string), task_id (string), failure_category (enum, Proposed list), failure_stage (enum: tracking, validation, availability, system)</t>
  </si>
  <si>
    <t xml:space="preserve">failure_detail (string, no PII)</t>
  </si>
  <si>
    <t xml:space="preserve">failure_category in approved list; one terminal event per attempt</t>
  </si>
  <si>
    <t xml:space="preserve">Failure analysis</t>
  </si>
  <si>
    <t xml:space="preserve">K-E05, K-E06</t>
  </si>
  <si>
    <t xml:space="preserve">tasks.task_status Failed + failure_reason</t>
  </si>
  <si>
    <t xml:space="preserve">task_abandoned</t>
  </si>
  <si>
    <t xml:space="preserve">User leaves before completion or timeout is reached</t>
  </si>
  <si>
    <t xml:space="preserve">User dropped the attempt</t>
  </si>
  <si>
    <t xml:space="preserve">task_activity_id (string), task_id (string), last_step (string)</t>
  </si>
  <si>
    <t xml:space="preserve">mutually exclusive with task_completed / task_failed for the same attempt</t>
  </si>
  <si>
    <t xml:space="preserve">Drop-off analysis</t>
  </si>
  <si>
    <t xml:space="preserve">K-E05</t>
  </si>
  <si>
    <t xml:space="preserve">tasks.task_status Abandoned</t>
  </si>
  <si>
    <t xml:space="preserve">rewards</t>
  </si>
  <si>
    <t xml:space="preserve">reward</t>
  </si>
  <si>
    <t xml:space="preserve">Reward is written to the wallet ledger</t>
  </si>
  <si>
    <t xml:space="preserve">Reward value was actually credited</t>
  </si>
  <si>
    <t xml:space="preserve">reward_id (string), source_type (enum), source_ref (string), amount (decimal &gt;0), unit (enum), wallet_transaction_id (string)</t>
  </si>
  <si>
    <t xml:space="preserve">task_activity_id (string)</t>
  </si>
  <si>
    <t xml:space="preserve">amount&gt;0; wallet_transaction_id exists; one per reward_id</t>
  </si>
  <si>
    <t xml:space="preserve">Value delivered; reconciliation</t>
  </si>
  <si>
    <t xml:space="preserve">K-R01, K-R02, K-R05</t>
  </si>
  <si>
    <t xml:space="preserve">tasks.reward_status Credited</t>
  </si>
  <si>
    <t xml:space="preserve">Reward awaits validation or provider confirmation</t>
  </si>
  <si>
    <t xml:space="preserve">Reward is held and not yet credited</t>
  </si>
  <si>
    <t xml:space="preserve">reward_id (string), source_type (enum), source_ref (string), amount (decimal), unit (enum), pending_reason_category (enum)</t>
  </si>
  <si>
    <t xml:space="preserve">expected_review_ts (UTC)</t>
  </si>
  <si>
    <t xml:space="preserve">must be followed by credited or reversed</t>
  </si>
  <si>
    <t xml:space="preserve">Pending queue ageing</t>
  </si>
  <si>
    <t xml:space="preserve">K-R03</t>
  </si>
  <si>
    <t xml:space="preserve">tasks.reward_status Pending</t>
  </si>
  <si>
    <t xml:space="preserve">reward_reversed</t>
  </si>
  <si>
    <t xml:space="preserve">Previously credited or pending reward is cancelled</t>
  </si>
  <si>
    <t xml:space="preserve">Reward removed with reason</t>
  </si>
  <si>
    <t xml:space="preserve">reward_id (string), original_reward_id (string), amount (decimal), unit (enum), reason_category (enum), actor_type (enum)</t>
  </si>
  <si>
    <t xml:space="preserve">case_ref (string)</t>
  </si>
  <si>
    <t xml:space="preserve">original_reward_id must exist and be credited</t>
  </si>
  <si>
    <t xml:space="preserve">Integrity and third-party reversal rate</t>
  </si>
  <si>
    <t xml:space="preserve">K-R04</t>
  </si>
  <si>
    <t xml:space="preserve">reward_corrected</t>
  </si>
  <si>
    <t xml:space="preserve">Reward amount is amended</t>
  </si>
  <si>
    <t xml:space="preserve">Reward changed to a different amount</t>
  </si>
  <si>
    <t xml:space="preserve">reward_id (string), original_reward_id (string), old_amount (decimal), new_amount (decimal), unit (enum), reason_category (enum)</t>
  </si>
  <si>
    <t xml:space="preserve">new_amount != old_amount</t>
  </si>
  <si>
    <t xml:space="preserve">Correction frequency</t>
  </si>
  <si>
    <t xml:space="preserve">engagement</t>
  </si>
  <si>
    <t xml:space="preserve">daily_reward</t>
  </si>
  <si>
    <t xml:space="preserve">User claims the daily reward and the claim is accepted</t>
  </si>
  <si>
    <t xml:space="preserve">One daily claim</t>
  </si>
  <si>
    <t xml:space="preserve">claim_date (date), amount (decimal), unit (enum), session_id (string)</t>
  </si>
  <si>
    <t xml:space="preserve">streak_length (int)</t>
  </si>
  <si>
    <t xml:space="preserve">one per user_id per claim_date</t>
  </si>
  <si>
    <t xml:space="preserve">Habit KPI</t>
  </si>
  <si>
    <t xml:space="preserve">K-E07, K-E08</t>
  </si>
  <si>
    <t xml:space="preserve">streak</t>
  </si>
  <si>
    <t xml:space="preserve">Streak counter changes</t>
  </si>
  <si>
    <t xml:space="preserve">Streak extended, broken or reset</t>
  </si>
  <si>
    <t xml:space="preserve">change_type (enum: extended, broken, reset), streak_length_before (int), streak_length_after (int)</t>
  </si>
  <si>
    <t xml:space="preserve">after &gt;= 0</t>
  </si>
  <si>
    <t xml:space="preserve">Streak effectiveness</t>
  </si>
  <si>
    <t xml:space="preserve">K-E10</t>
  </si>
  <si>
    <t xml:space="preserve">streak_claimed / streak_broken</t>
  </si>
  <si>
    <t xml:space="preserve">mission_started</t>
  </si>
  <si>
    <t xml:space="preserve">missions</t>
  </si>
  <si>
    <t xml:space="preserve">Mission is accepted</t>
  </si>
  <si>
    <t xml:space="preserve">Mission attempt begins</t>
  </si>
  <si>
    <t xml:space="preserve">mission_id (string), session_id (string)</t>
  </si>
  <si>
    <t xml:space="preserve">mission_id exists</t>
  </si>
  <si>
    <t xml:space="preserve">Mission funnel</t>
  </si>
  <si>
    <t xml:space="preserve">K-E11</t>
  </si>
  <si>
    <t xml:space="preserve">mission_completed</t>
  </si>
  <si>
    <t xml:space="preserve">Mission objectives validated</t>
  </si>
  <si>
    <t xml:space="preserve">Mission successfully completed</t>
  </si>
  <si>
    <t xml:space="preserve">mission_id (string), reward_amount (decimal), reward_unit (enum)</t>
  </si>
  <si>
    <t xml:space="preserve">one per mission attempt</t>
  </si>
  <si>
    <t xml:space="preserve">Mission completion rate</t>
  </si>
  <si>
    <t xml:space="preserve">badge_earned</t>
  </si>
  <si>
    <t xml:space="preserve">badges</t>
  </si>
  <si>
    <t xml:space="preserve">Badge criteria met</t>
  </si>
  <si>
    <t xml:space="preserve">Badge awarded</t>
  </si>
  <si>
    <t xml:space="preserve">badge_id (string)</t>
  </si>
  <si>
    <t xml:space="preserve">one per user_id and badge_id</t>
  </si>
  <si>
    <t xml:space="preserve">Progression engagement</t>
  </si>
  <si>
    <t xml:space="preserve">K-E12</t>
  </si>
  <si>
    <t xml:space="preserve">level_increased</t>
  </si>
  <si>
    <t xml:space="preserve">levels</t>
  </si>
  <si>
    <t xml:space="preserve">User level rises</t>
  </si>
  <si>
    <t xml:space="preserve">Level up recorded</t>
  </si>
  <si>
    <t xml:space="preserve">old_level (int), new_level (int), xp_total (int)</t>
  </si>
  <si>
    <t xml:space="preserve">new_level &gt; old_level</t>
  </si>
  <si>
    <t xml:space="preserve">XP progression</t>
  </si>
  <si>
    <t xml:space="preserve">level_up</t>
  </si>
  <si>
    <t xml:space="preserve">spin_started</t>
  </si>
  <si>
    <t xml:space="preserve">spin</t>
  </si>
  <si>
    <t xml:space="preserve">Spin is initiated</t>
  </si>
  <si>
    <t xml:space="preserve">Spin attempt</t>
  </si>
  <si>
    <t xml:space="preserve">spin_id (string), session_id (string)</t>
  </si>
  <si>
    <t xml:space="preserve">spin_source (enum)</t>
  </si>
  <si>
    <t xml:space="preserve">spin_id unique</t>
  </si>
  <si>
    <t xml:space="preserve">Spin usage</t>
  </si>
  <si>
    <t xml:space="preserve">K-E13</t>
  </si>
  <si>
    <t xml:space="preserve">spin_completed</t>
  </si>
  <si>
    <t xml:space="preserve">Spin outcome recorded</t>
  </si>
  <si>
    <t xml:space="preserve">Spin result</t>
  </si>
  <si>
    <t xml:space="preserve">spin_id (string), outcome_type (enum), reward_amount (decimal), reward_unit (enum)</t>
  </si>
  <si>
    <t xml:space="preserve">one per spin_id</t>
  </si>
  <si>
    <t xml:space="preserve">Outcome distribution</t>
  </si>
  <si>
    <t xml:space="preserve">feature_viewed</t>
  </si>
  <si>
    <t xml:space="preserve">generic</t>
  </si>
  <si>
    <t xml:space="preserve">A feature screen is viewed</t>
  </si>
  <si>
    <t xml:space="preserve">Generic exposure event for low-value screens (leaderboard, exchange, badges)</t>
  </si>
  <si>
    <t xml:space="preserve">feature (enum), session_id (string)</t>
  </si>
  <si>
    <t xml:space="preserve">feature in approved list</t>
  </si>
  <si>
    <t xml:space="preserve">Feature adoption</t>
  </si>
  <si>
    <t xml:space="preserve">K-E14</t>
  </si>
  <si>
    <t xml:space="preserve">leaderboard_viewed, wallet_viewed, exchange_viewed</t>
  </si>
  <si>
    <t xml:space="preserve">referrals</t>
  </si>
  <si>
    <t xml:space="preserve">referral</t>
  </si>
  <si>
    <t xml:space="preserve">Referral link/code is generated or invite created</t>
  </si>
  <si>
    <t xml:space="preserve">referral_id (string), referrer_user_id (string)</t>
  </si>
  <si>
    <t xml:space="preserve">channel (enum)</t>
  </si>
  <si>
    <t xml:space="preserve">referrer_user_id exists</t>
  </si>
  <si>
    <t xml:space="preserve">Referral funnel top</t>
  </si>
  <si>
    <t xml:space="preserve">K-F01</t>
  </si>
  <si>
    <t xml:space="preserve">referral_registered</t>
  </si>
  <si>
    <t xml:space="preserve">Referred person completes registration using a referral</t>
  </si>
  <si>
    <t xml:space="preserve">Referred user linked to referral</t>
  </si>
  <si>
    <t xml:space="preserve">referral_id (string), referrer_user_id (string), referred_user_id (string)</t>
  </si>
  <si>
    <t xml:space="preserve">referred_user_id != referrer_user_id; one referrer per referred user</t>
  </si>
  <si>
    <t xml:space="preserve">Registrations from referrals</t>
  </si>
  <si>
    <t xml:space="preserve">K-F02</t>
  </si>
  <si>
    <t xml:space="preserve">referral_activated</t>
  </si>
  <si>
    <t xml:space="preserve">Referred user meets the activation definition (A013)</t>
  </si>
  <si>
    <t xml:space="preserve">Referred user active</t>
  </si>
  <si>
    <t xml:space="preserve">referral_id (string), referred_user_id (string), activation_rule (string)</t>
  </si>
  <si>
    <t xml:space="preserve">after referral_registered</t>
  </si>
  <si>
    <t xml:space="preserve">Activation</t>
  </si>
  <si>
    <t xml:space="preserve">K-F03</t>
  </si>
  <si>
    <t xml:space="preserve">referral_converted</t>
  </si>
  <si>
    <t xml:space="preserve">Referral meets conversion definition (A013)</t>
  </si>
  <si>
    <t xml:space="preserve">Referral successful</t>
  </si>
  <si>
    <t xml:space="preserve">referral_id (string), referrer_user_id (string), referred_user_id (string), conversion_rule (string)</t>
  </si>
  <si>
    <t xml:space="preserve">reward_id (string)</t>
  </si>
  <si>
    <t xml:space="preserve">after referral_activated; at most one per referral_id</t>
  </si>
  <si>
    <t xml:space="preserve">Conversion KPI</t>
  </si>
  <si>
    <t xml:space="preserve">K-F04</t>
  </si>
  <si>
    <t xml:space="preserve">wallet_transaction_created</t>
  </si>
  <si>
    <t xml:space="preserve">wallet</t>
  </si>
  <si>
    <t xml:space="preserve">Ledger entry is created</t>
  </si>
  <si>
    <t xml:space="preserve">New ledger entry pending or immediate</t>
  </si>
  <si>
    <t xml:space="preserve">transaction_id (string), transaction_type (enum), amount (decimal), unit (enum), status (enum), reference_id (string)</t>
  </si>
  <si>
    <t xml:space="preserve">related_transaction_id (string)</t>
  </si>
  <si>
    <t xml:space="preserve">transaction_id unique; amount != 0</t>
  </si>
  <si>
    <t xml:space="preserve">Ledger completeness</t>
  </si>
  <si>
    <t xml:space="preserve">K-W01</t>
  </si>
  <si>
    <t xml:space="preserve">wallet_transaction_completed</t>
  </si>
  <si>
    <t xml:space="preserve">Ledger entry becomes final</t>
  </si>
  <si>
    <t xml:space="preserve">Transaction settled</t>
  </si>
  <si>
    <t xml:space="preserve">transaction_id (string), transaction_type (enum), amount (decimal), unit (enum), balance_after (decimal)</t>
  </si>
  <si>
    <t xml:space="preserve">transaction_id exists with status created</t>
  </si>
  <si>
    <t xml:space="preserve">Credit volume, redemptions</t>
  </si>
  <si>
    <t xml:space="preserve">K-W02, K-W03</t>
  </si>
  <si>
    <t xml:space="preserve">wallet_transaction_reversed</t>
  </si>
  <si>
    <t xml:space="preserve">Ledger entry is reversed</t>
  </si>
  <si>
    <t xml:space="preserve">Reversal record linked to the original</t>
  </si>
  <si>
    <t xml:space="preserve">transaction_id (string), related_transaction_id (string), amount (decimal), unit (enum), reason_category (enum)</t>
  </si>
  <si>
    <t xml:space="preserve">related_transaction_id must exist and be completed</t>
  </si>
  <si>
    <t xml:space="preserve">Reversal rate</t>
  </si>
  <si>
    <t xml:space="preserve">K-W04</t>
  </si>
  <si>
    <t xml:space="preserve">exchange</t>
  </si>
  <si>
    <t xml:space="preserve">Exchange accepted by system</t>
  </si>
  <si>
    <t xml:space="preserve">Units converted</t>
  </si>
  <si>
    <t xml:space="preserve">from_unit (enum), to_unit (enum), from_amount (decimal), to_amount (decimal), transaction_id (string)</t>
  </si>
  <si>
    <t xml:space="preserve">rate_ref (string)</t>
  </si>
  <si>
    <t xml:space="preserve">from_unit != to_unit</t>
  </si>
  <si>
    <t xml:space="preserve">Exchange usage (if feature exists)</t>
  </si>
  <si>
    <t xml:space="preserve">K-W05</t>
  </si>
  <si>
    <t xml:space="preserve">withdrawals</t>
  </si>
  <si>
    <t xml:space="preserve">withdrawal</t>
  </si>
  <si>
    <t xml:space="preserve">Request is submitted and recorded</t>
  </si>
  <si>
    <t xml:space="preserve">withdrawal_id (string), amount (decimal), unit (enum), method (enum, list pending A010)</t>
  </si>
  <si>
    <t xml:space="preserve">amount&gt;0; one per withdrawal_id</t>
  </si>
  <si>
    <t xml:space="preserve">Request volume</t>
  </si>
  <si>
    <t xml:space="preserve">K-D01, K-D07</t>
  </si>
  <si>
    <t xml:space="preserve">withdrawal_processing</t>
  </si>
  <si>
    <t xml:space="preserve">Request enters review or processing</t>
  </si>
  <si>
    <t xml:space="preserve">Under review/processing</t>
  </si>
  <si>
    <t xml:space="preserve">withdrawal_id (string), processing_stage (enum)</t>
  </si>
  <si>
    <t xml:space="preserve">after withdrawal_requested</t>
  </si>
  <si>
    <t xml:space="preserve">Queue and processing time</t>
  </si>
  <si>
    <t xml:space="preserve">K-D03, K-D05</t>
  </si>
  <si>
    <t xml:space="preserve">withdrawal_completed</t>
  </si>
  <si>
    <t xml:space="preserve">Payout confirmed</t>
  </si>
  <si>
    <t xml:space="preserve">Payout completed</t>
  </si>
  <si>
    <t xml:space="preserve">withdrawal_id (string), amount (decimal), unit (enum), method (enum)</t>
  </si>
  <si>
    <t xml:space="preserve">payout_reference (string, tokenised)</t>
  </si>
  <si>
    <t xml:space="preserve">terminal; exclusive with rejected</t>
  </si>
  <si>
    <t xml:space="preserve">Completion rate, volume</t>
  </si>
  <si>
    <t xml:space="preserve">K-D02, K-D04, K-D06</t>
  </si>
  <si>
    <t xml:space="preserve">withdrawal_rejected</t>
  </si>
  <si>
    <t xml:space="preserve">Request refused</t>
  </si>
  <si>
    <t xml:space="preserve">Payout refused</t>
  </si>
  <si>
    <t xml:space="preserve">withdrawal_id (string), reason_category (enum)</t>
  </si>
  <si>
    <t xml:space="preserve">terminal; exclusive with completed</t>
  </si>
  <si>
    <t xml:space="preserve">Rejection reasons</t>
  </si>
  <si>
    <t xml:space="preserve">K-D04</t>
  </si>
  <si>
    <t xml:space="preserve">withdrawal_reversed</t>
  </si>
  <si>
    <t xml:space="preserve">Completed payout is reversed</t>
  </si>
  <si>
    <t xml:space="preserve">Payout reversed</t>
  </si>
  <si>
    <t xml:space="preserve">withdrawal_id (string), reason_category (enum), reversal_transaction_id (string)</t>
  </si>
  <si>
    <t xml:space="preserve">only after withdrawal_completed</t>
  </si>
  <si>
    <t xml:space="preserve">K-D08</t>
  </si>
  <si>
    <t xml:space="preserve">support</t>
  </si>
  <si>
    <t xml:space="preserve">help_center</t>
  </si>
  <si>
    <t xml:space="preserve">Help article opened</t>
  </si>
  <si>
    <t xml:space="preserve">article_category (enum), session_id (string)</t>
  </si>
  <si>
    <t xml:space="preserve">article_id (string)</t>
  </si>
  <si>
    <t xml:space="preserve">Support demand</t>
  </si>
  <si>
    <t xml:space="preserve">K-S02</t>
  </si>
  <si>
    <t xml:space="preserve">Ticket created in support tool</t>
  </si>
  <si>
    <t xml:space="preserve">Support request raised</t>
  </si>
  <si>
    <t xml:space="preserve">ticket_id (string), issue_category (enum)</t>
  </si>
  <si>
    <t xml:space="preserve">related_feature (enum)</t>
  </si>
  <si>
    <t xml:space="preserve">ticket_id unique</t>
  </si>
  <si>
    <t xml:space="preserve">K-S01</t>
  </si>
  <si>
    <t xml:space="preserve">Event Naming Standard</t>
  </si>
  <si>
    <t xml:space="preserve">Standard</t>
  </si>
  <si>
    <t xml:space="preserve">Convention</t>
  </si>
  <si>
    <t xml:space="preserve">object_action, snake_case, lower case, past-tense verb (user_registered, task_completed)</t>
  </si>
  <si>
    <t xml:space="preserve">Why</t>
  </si>
  <si>
    <t xml:space="preserve">Matches the brief minimum events; short; sorts by object so related events group together; the feature goes in a property (feature), not in the name, which avoids a name explosion</t>
  </si>
  <si>
    <t xml:space="preserve">Verbs</t>
  </si>
  <si>
    <t xml:space="preserve">registered, verified, logged_in, logged_out, started, completed, failed, abandoned, viewed, opened, credited, reversed, corrected, claimed, earned, requested, rejected, created, updated, changed, increased</t>
  </si>
  <si>
    <t xml:space="preserve">Rule 1</t>
  </si>
  <si>
    <t xml:space="preserve">An event name is emitted only after the state is true (completed means validated). Intent is a separate event (started/requested).</t>
  </si>
  <si>
    <t xml:space="preserve">Rule 2</t>
  </si>
  <si>
    <t xml:space="preserve">One event, one meaning. Renames are never silent (see Change Log process).</t>
  </si>
  <si>
    <t xml:space="preserve">Rule 3</t>
  </si>
  <si>
    <t xml:space="preserve">Properties use snake_case; enums are lower case; amounts are decimal with a separate unit field; timestamps UTC ISO-8601.</t>
  </si>
  <si>
    <t xml:space="preserve">Rule 4</t>
  </si>
  <si>
    <t xml:space="preserve">No personal data (name, email, free text) inside event properties.</t>
  </si>
  <si>
    <t xml:space="preserve">Mapping note</t>
  </si>
  <si>
    <t xml:space="preserve">The supplementary simulated dataset uses names such as mission_viewed, ad_started, level_up, streak_claimed. Column S of the Event Plan maps proposed names to those observed; they are not assumed to be production names.</t>
  </si>
  <si>
    <t xml:space="preserve">N - Developer Analytics Handoff (14 critical events, one row per payload field)</t>
  </si>
  <si>
    <t xml:space="preserve">Requirement ID</t>
  </si>
  <si>
    <t xml:space="preserve">Event</t>
  </si>
  <si>
    <t xml:space="preserve">Payload Field</t>
  </si>
  <si>
    <t xml:space="preserve">Data Type</t>
  </si>
  <si>
    <t xml:space="preserve">Required</t>
  </si>
  <si>
    <t xml:space="preserve">Deduplication</t>
  </si>
  <si>
    <t xml:space="preserve">Acceptance Test</t>
  </si>
  <si>
    <t xml:space="preserve">REQ-001</t>
  </si>
  <si>
    <t xml:space="preserve">string</t>
  </si>
  <si>
    <t xml:space="preserve">Not null; type-valid</t>
  </si>
  <si>
    <t xml:space="preserve">unique on user_id</t>
  </si>
  <si>
    <t xml:space="preserve">UTC, server-generated at the time the state is committed</t>
  </si>
  <si>
    <t xml:space="preserve">When a new account is created, exactly one user_registered event with a new user_id is recorded; repeat submission of the same form creates no second event.</t>
  </si>
  <si>
    <t xml:space="preserve">string, UUID</t>
  </si>
  <si>
    <t xml:space="preserve">event_ts</t>
  </si>
  <si>
    <t xml:space="preserve">UTC ISO-8601</t>
  </si>
  <si>
    <t xml:space="preserve">registration_method</t>
  </si>
  <si>
    <t xml:space="preserve">enum: web_form, google_sign_in</t>
  </si>
  <si>
    <t xml:space="preserve">enum</t>
  </si>
  <si>
    <t xml:space="preserve">device_type</t>
  </si>
  <si>
    <t xml:space="preserve">REQ-002</t>
  </si>
  <si>
    <t xml:space="preserve">unique on (user_id, session_id)</t>
  </si>
  <si>
    <t xml:space="preserve">Each successful authentication produces one event carrying a session_id; a refresh without re-authentication produces none.</t>
  </si>
  <si>
    <t xml:space="preserve">REQ-003</t>
  </si>
  <si>
    <t xml:space="preserve">unique on task_activity_id</t>
  </si>
  <si>
    <t xml:space="preserve">Starting an attempt records one event with a unique task_activity_id before any completion event exists for it.</t>
  </si>
  <si>
    <t xml:space="preserve">task_id</t>
  </si>
  <si>
    <t xml:space="preserve">task_type</t>
  </si>
  <si>
    <t xml:space="preserve">feature</t>
  </si>
  <si>
    <t xml:space="preserve">REQ-004</t>
  </si>
  <si>
    <t xml:space="preserve">unique on task_activity_id (idempotency key); replays ignored</t>
  </si>
  <si>
    <t xml:space="preserve">When a valid task completion occurs, exactly one analytically usable completion event is recorded for the relevant task/user attempt, subject to the final engineering implementation and idempotency design.</t>
  </si>
  <si>
    <t xml:space="preserve">status</t>
  </si>
  <si>
    <t xml:space="preserve">enum: completed</t>
  </si>
  <si>
    <t xml:space="preserve">validation_status</t>
  </si>
  <si>
    <t xml:space="preserve">reward_amount</t>
  </si>
  <si>
    <t xml:space="preserve">decimal</t>
  </si>
  <si>
    <t xml:space="preserve">reward_unit</t>
  </si>
  <si>
    <t xml:space="preserve">REQ-005</t>
  </si>
  <si>
    <t xml:space="preserve">unique on (task_activity_id, terminal state)</t>
  </si>
  <si>
    <t xml:space="preserve">A failed attempt records one failure event with a failure_category from the approved list; no completion event exists for that task_activity_id.</t>
  </si>
  <si>
    <t xml:space="preserve">failure_category</t>
  </si>
  <si>
    <t xml:space="preserve">enum, Proposed list</t>
  </si>
  <si>
    <t xml:space="preserve">failure_stage</t>
  </si>
  <si>
    <t xml:space="preserve">enum: tracking, validation, availability, system</t>
  </si>
  <si>
    <t xml:space="preserve">REQ-006</t>
  </si>
  <si>
    <t xml:space="preserve">unique on reward_id</t>
  </si>
  <si>
    <t xml:space="preserve">Every wallet credit from a reward has one reward_credited event whose amount equals the wallet ledger entry; no event is emitted for rewards still pending.</t>
  </si>
  <si>
    <t xml:space="preserve">source_type</t>
  </si>
  <si>
    <t xml:space="preserve">source_ref</t>
  </si>
  <si>
    <t xml:space="preserve">amount</t>
  </si>
  <si>
    <t xml:space="preserve">decimal &gt;0</t>
  </si>
  <si>
    <t xml:space="preserve">unit</t>
  </si>
  <si>
    <t xml:space="preserve">wallet_transaction_id</t>
  </si>
  <si>
    <t xml:space="preserve">REQ-007</t>
  </si>
  <si>
    <t xml:space="preserve">unique on (reward_id, original_reward_id)</t>
  </si>
  <si>
    <t xml:space="preserve">Reversing a reward produces one event referencing the original reward_id and a matching reversal ledger entry.</t>
  </si>
  <si>
    <t xml:space="preserve">original_reward_id</t>
  </si>
  <si>
    <t xml:space="preserve">reason_category</t>
  </si>
  <si>
    <t xml:space="preserve">actor_type</t>
  </si>
  <si>
    <t xml:space="preserve">REQ-008</t>
  </si>
  <si>
    <t xml:space="preserve">unique on referral_id</t>
  </si>
  <si>
    <t xml:space="preserve">A referral meeting the agreed conversion definition produces exactly one event; registration alone never produces it.</t>
  </si>
  <si>
    <t xml:space="preserve">referrer_user_id</t>
  </si>
  <si>
    <t xml:space="preserve">referred_user_id</t>
  </si>
  <si>
    <t xml:space="preserve">conversion_rule</t>
  </si>
  <si>
    <t xml:space="preserve">REQ-009</t>
  </si>
  <si>
    <t xml:space="preserve">unique on transaction_id</t>
  </si>
  <si>
    <t xml:space="preserve">Each ledger write creates one event with a unique transaction_id; retries do not create new IDs.</t>
  </si>
  <si>
    <t xml:space="preserve">transaction_type</t>
  </si>
  <si>
    <t xml:space="preserve">reference_id</t>
  </si>
  <si>
    <t xml:space="preserve">REQ-010</t>
  </si>
  <si>
    <t xml:space="preserve">unique on transaction_id + status</t>
  </si>
  <si>
    <t xml:space="preserve">A settled transaction records one completed event; the sum of completed credits less reversals equals the balance change for a test user.</t>
  </si>
  <si>
    <t xml:space="preserve">balance_after</t>
  </si>
  <si>
    <t xml:space="preserve">REQ-011</t>
  </si>
  <si>
    <t xml:space="preserve">A reversal references an existing completed transaction through related_transaction_id.</t>
  </si>
  <si>
    <t xml:space="preserve">related_transaction_id</t>
  </si>
  <si>
    <t xml:space="preserve">REQ-012</t>
  </si>
  <si>
    <t xml:space="preserve">unique on withdrawal_id</t>
  </si>
  <si>
    <t xml:space="preserve">Submitting a payout request records one event with a unique withdrawal_id and amount&gt;0.</t>
  </si>
  <si>
    <t xml:space="preserve">method</t>
  </si>
  <si>
    <t xml:space="preserve">enum, list pending A010</t>
  </si>
  <si>
    <t xml:space="preserve">REQ-013</t>
  </si>
  <si>
    <t xml:space="preserve">unique on withdrawal_id + terminal status</t>
  </si>
  <si>
    <t xml:space="preserve">Completion appears once per withdrawal_id and never together with a rejected event.</t>
  </si>
  <si>
    <t xml:space="preserve">REQ-014</t>
  </si>
  <si>
    <t xml:space="preserve">Rejection records one event with a reason_category from the approved list and no completion event.</t>
  </si>
  <si>
    <t xml:space="preserve">G - VELOOP Data Dictionary (106 fields)</t>
  </si>
  <si>
    <t xml:space="preserve">Entity</t>
  </si>
  <si>
    <t xml:space="preserve">Field Name</t>
  </si>
  <si>
    <t xml:space="preserve">Example</t>
  </si>
  <si>
    <t xml:space="preserve">Allowed Values</t>
  </si>
  <si>
    <t xml:space="preserve">Sensitivity</t>
  </si>
  <si>
    <t xml:space="preserve">Analytical Use</t>
  </si>
  <si>
    <t xml:space="preserve">Users</t>
  </si>
  <si>
    <t xml:space="preserve">Stable unique user identifier</t>
  </si>
  <si>
    <t xml:space="preserve">VLUSR000001</t>
  </si>
  <si>
    <t xml:space="preserve">VLUSR + 6 digits</t>
  </si>
  <si>
    <t xml:space="preserve">Internal</t>
  </si>
  <si>
    <t xml:space="preserve">Primary join key</t>
  </si>
  <si>
    <t xml:space="preserve">Display name in simulated data (not needed in analytics layer)</t>
  </si>
  <si>
    <t xml:space="preserve">(simulated)</t>
  </si>
  <si>
    <t xml:space="preserve">Not unique (596 repeated names in sample); exclude from analytics layer</t>
  </si>
  <si>
    <t xml:space="preserve">Restricted</t>
  </si>
  <si>
    <t xml:space="preserve">None - recommend exclusion</t>
  </si>
  <si>
    <t xml:space="preserve">Email address (not needed in analytics layer)</t>
  </si>
  <si>
    <t xml:space="preserve">Valid format; unique; replace with hashed value if needed</t>
  </si>
  <si>
    <t xml:space="preserve">De-duplication only (hashed)</t>
  </si>
  <si>
    <t xml:space="preserve">Age in years</t>
  </si>
  <si>
    <t xml:space="preserve">28</t>
  </si>
  <si>
    <t xml:space="preserve">18-38 in sample</t>
  </si>
  <si>
    <t xml:space="preserve">Demographic segmentation (optional)</t>
  </si>
  <si>
    <t xml:space="preserve">Self-declared gender</t>
  </si>
  <si>
    <t xml:space="preserve">Prefer not to say</t>
  </si>
  <si>
    <t xml:space="preserve">Male, Female, Prefer not to say</t>
  </si>
  <si>
    <t xml:space="preserve">Indian state</t>
  </si>
  <si>
    <t xml:space="preserve">Odisha</t>
  </si>
  <si>
    <t xml:space="preserve">Geographic distribution</t>
  </si>
  <si>
    <t xml:space="preserve">City</t>
  </si>
  <si>
    <t xml:space="preserve">Bhubaneswar</t>
  </si>
  <si>
    <t xml:space="preserve">Account creation timestamp</t>
  </si>
  <si>
    <t xml:space="preserve">2026-06-10 07:14:00</t>
  </si>
  <si>
    <t xml:space="preserve">Cohorts, registrations</t>
  </si>
  <si>
    <t xml:space="preserve">Channel through which the user arrived</t>
  </si>
  <si>
    <t xml:space="preserve">Organic Search</t>
  </si>
  <si>
    <t xml:space="preserve">Organic Search, Direct, Social Media, Referral, WhatsApp, Telegram, Other</t>
  </si>
  <si>
    <t xml:space="preserve">Acquisition analysis</t>
  </si>
  <si>
    <t xml:space="preserve">Detail when source = Referral</t>
  </si>
  <si>
    <t xml:space="preserve">Friend/Family</t>
  </si>
  <si>
    <t xml:space="preserve">Referral analysis</t>
  </si>
  <si>
    <t xml:space="preserve">Main device OS family</t>
  </si>
  <si>
    <t xml:space="preserve">Android</t>
  </si>
  <si>
    <t xml:space="preserve">Android, iOS, Windows, macOS</t>
  </si>
  <si>
    <t xml:space="preserve">Device mix</t>
  </si>
  <si>
    <t xml:space="preserve">Delivery platform</t>
  </si>
  <si>
    <t xml:space="preserve">Web</t>
  </si>
  <si>
    <t xml:space="preserve">Current account state</t>
  </si>
  <si>
    <t xml:space="preserve">Active</t>
  </si>
  <si>
    <t xml:space="preserve">Active, Inactive, Suspended, Pending Verification</t>
  </si>
  <si>
    <t xml:space="preserve">Lifecycle</t>
  </si>
  <si>
    <t xml:space="preserve">Email verification state</t>
  </si>
  <si>
    <t xml:space="preserve">Verified</t>
  </si>
  <si>
    <t xml:space="preserve">Verified, Pending</t>
  </si>
  <si>
    <t xml:space="preserve">Verification rate</t>
  </si>
  <si>
    <t xml:space="preserve">Onboarding progress</t>
  </si>
  <si>
    <t xml:space="preserve">Completed</t>
  </si>
  <si>
    <t xml:space="preserve">Completed, Started, Not Started</t>
  </si>
  <si>
    <t xml:space="preserve">Most recent login</t>
  </si>
  <si>
    <t xml:space="preserve">2026-08-02 10:11:00</t>
  </si>
  <si>
    <t xml:space="preserve">Number of sessions to date</t>
  </si>
  <si>
    <t xml:space="preserve">8</t>
  </si>
  <si>
    <t xml:space="preserve">&gt;=0</t>
  </si>
  <si>
    <t xml:space="preserve">Distinct active days</t>
  </si>
  <si>
    <t xml:space="preserve">Usage regularity</t>
  </si>
  <si>
    <t xml:space="preserve">Current XP</t>
  </si>
  <si>
    <t xml:space="preserve">76</t>
  </si>
  <si>
    <t xml:space="preserve">User own referral code</t>
  </si>
  <si>
    <t xml:space="preserve">VL850800</t>
  </si>
  <si>
    <t xml:space="preserve">VL + 6 digits</t>
  </si>
  <si>
    <t xml:space="preserve">Derived days between registration and reference time</t>
  </si>
  <si>
    <t xml:space="preserve">96.7</t>
  </si>
  <si>
    <t xml:space="preserve">Tenure</t>
  </si>
  <si>
    <t xml:space="preserve">Derived 7-day activity flag</t>
  </si>
  <si>
    <t xml:space="preserve">Yes, No</t>
  </si>
  <si>
    <t xml:space="preserve">Active users</t>
  </si>
  <si>
    <t xml:space="preserve">Derived 30-day activity flag</t>
  </si>
  <si>
    <t xml:space="preserve">Consent state</t>
  </si>
  <si>
    <t xml:space="preserve">Accepted</t>
  </si>
  <si>
    <t xml:space="preserve">Accepted, Pending</t>
  </si>
  <si>
    <t xml:space="preserve">Marketing preference</t>
  </si>
  <si>
    <t xml:space="preserve">Google Sign-In</t>
  </si>
  <si>
    <t xml:space="preserve">Web Registration, Google Sign-In</t>
  </si>
  <si>
    <t xml:space="preserve">Registration mix</t>
  </si>
  <si>
    <t xml:space="preserve">Country</t>
  </si>
  <si>
    <t xml:space="preserve">India</t>
  </si>
  <si>
    <t xml:space="preserve">Account Status History</t>
  </si>
  <si>
    <t xml:space="preserve">status_change_id</t>
  </si>
  <si>
    <t xml:space="preserve">Unique id of a status change</t>
  </si>
  <si>
    <t xml:space="preserve">SC000123</t>
  </si>
  <si>
    <t xml:space="preserve">Unique</t>
  </si>
  <si>
    <t xml:space="preserve">Proposed - backend</t>
  </si>
  <si>
    <t xml:space="preserve">Audit</t>
  </si>
  <si>
    <t xml:space="preserve">User whose status changed</t>
  </si>
  <si>
    <t xml:space="preserve">FK to Users</t>
  </si>
  <si>
    <t xml:space="preserve">Join</t>
  </si>
  <si>
    <t xml:space="preserve">old_status</t>
  </si>
  <si>
    <t xml:space="preserve">Previous status</t>
  </si>
  <si>
    <t xml:space="preserve">as account_status</t>
  </si>
  <si>
    <t xml:space="preserve">Approved list</t>
  </si>
  <si>
    <t xml:space="preserve">Transition analysis</t>
  </si>
  <si>
    <t xml:space="preserve">new_status</t>
  </si>
  <si>
    <t xml:space="preserve">New status</t>
  </si>
  <si>
    <t xml:space="preserve">Suspended</t>
  </si>
  <si>
    <t xml:space="preserve">Approved list; != old_status</t>
  </si>
  <si>
    <t xml:space="preserve">changed_at</t>
  </si>
  <si>
    <t xml:space="preserve">Datetime (UTC)</t>
  </si>
  <si>
    <t xml:space="preserve">Time of change</t>
  </si>
  <si>
    <t xml:space="preserve">2026-08-01T10:00:00Z</t>
  </si>
  <si>
    <t xml:space="preserve">Valid; after registration</t>
  </si>
  <si>
    <t xml:space="preserve">Timeline</t>
  </si>
  <si>
    <t xml:space="preserve">change_reason_category</t>
  </si>
  <si>
    <t xml:space="preserve">High-level reason (no free text)</t>
  </si>
  <si>
    <t xml:space="preserve">policy_review</t>
  </si>
  <si>
    <t xml:space="preserve">Approved list (Proposed)</t>
  </si>
  <si>
    <t xml:space="preserve">No personal data</t>
  </si>
  <si>
    <t xml:space="preserve">Reason reporting</t>
  </si>
  <si>
    <t xml:space="preserve">Sessions</t>
  </si>
  <si>
    <t xml:space="preserve">Unique session identifier</t>
  </si>
  <si>
    <t xml:space="preserve">SESS0000001</t>
  </si>
  <si>
    <t xml:space="preserve">Session grouping</t>
  </si>
  <si>
    <t xml:space="preserve">Owner</t>
  </si>
  <si>
    <t xml:space="preserve">session_start_ts</t>
  </si>
  <si>
    <t xml:space="preserve">Session start</t>
  </si>
  <si>
    <t xml:space="preserve">2026-08-11T10:30:01Z</t>
  </si>
  <si>
    <t xml:space="preserve">Valid</t>
  </si>
  <si>
    <t xml:space="preserve">Time analysis</t>
  </si>
  <si>
    <t xml:space="preserve">session_end_ts</t>
  </si>
  <si>
    <t xml:space="preserve">Session end</t>
  </si>
  <si>
    <t xml:space="preserve">2026-08-11T10:30:46Z</t>
  </si>
  <si>
    <t xml:space="preserve">&gt;= start</t>
  </si>
  <si>
    <t xml:space="preserve">Duration</t>
  </si>
  <si>
    <t xml:space="preserve">Device OS family</t>
  </si>
  <si>
    <t xml:space="preserve">as primary_device</t>
  </si>
  <si>
    <t xml:space="preserve">Web (others later)</t>
  </si>
  <si>
    <t xml:space="preserve">entry_point</t>
  </si>
  <si>
    <t xml:space="preserve">Where the session started</t>
  </si>
  <si>
    <t xml:space="preserve">Home</t>
  </si>
  <si>
    <t xml:space="preserve">Navigation</t>
  </si>
  <si>
    <t xml:space="preserve">session_status</t>
  </si>
  <si>
    <t xml:space="preserve">Closed state</t>
  </si>
  <si>
    <t xml:space="preserve">Completed, Timed out</t>
  </si>
  <si>
    <t xml:space="preserve">Quality</t>
  </si>
  <si>
    <t xml:space="preserve">Catalog identifier of a task</t>
  </si>
  <si>
    <t xml:space="preserve">TASK0071</t>
  </si>
  <si>
    <t xml:space="preserve">Catalog join</t>
  </si>
  <si>
    <t xml:space="preserve">Type of task</t>
  </si>
  <si>
    <t xml:space="preserve">Survey</t>
  </si>
  <si>
    <t xml:space="preserve">Controlled</t>
  </si>
  <si>
    <t xml:space="preserve">Mix</t>
  </si>
  <si>
    <t xml:space="preserve">Feature hosting the task</t>
  </si>
  <si>
    <t xml:space="preserve">Approved list (A006)</t>
  </si>
  <si>
    <t xml:space="preserve">Feature analysis</t>
  </si>
  <si>
    <t xml:space="preserve">is_third_party</t>
  </si>
  <si>
    <t xml:space="preserve">Boolean</t>
  </si>
  <si>
    <t xml:space="preserve">Whether an external system validates it</t>
  </si>
  <si>
    <t xml:space="preserve">true</t>
  </si>
  <si>
    <t xml:space="preserve">true, false</t>
  </si>
  <si>
    <t xml:space="preserve">Not null</t>
  </si>
  <si>
    <t xml:space="preserve">Third-party dependency</t>
  </si>
  <si>
    <t xml:space="preserve">Task catalog state</t>
  </si>
  <si>
    <t xml:space="preserve">Active, Paused, Retired</t>
  </si>
  <si>
    <t xml:space="preserve">Catalog health</t>
  </si>
  <si>
    <t xml:space="preserve">Task Activity</t>
  </si>
  <si>
    <t xml:space="preserve">Unique id of one attempt</t>
  </si>
  <si>
    <t xml:space="preserve">ACT0000001</t>
  </si>
  <si>
    <t xml:space="preserve">Simulated dataset (Data_01) (activity_id)</t>
  </si>
  <si>
    <t xml:space="preserve">Primary key</t>
  </si>
  <si>
    <t xml:space="preserve">Attempting user</t>
  </si>
  <si>
    <t xml:space="preserve">VLUSR000980</t>
  </si>
  <si>
    <t xml:space="preserve">Simulated dataset (Data_01) (supplementary only)</t>
  </si>
  <si>
    <t xml:space="preserve">Task attempted</t>
  </si>
  <si>
    <t xml:space="preserve">FK to Tasks</t>
  </si>
  <si>
    <t xml:space="preserve">Session of attempt</t>
  </si>
  <si>
    <t xml:space="preserve">SESS0007786</t>
  </si>
  <si>
    <t xml:space="preserve">FK to Sessions</t>
  </si>
  <si>
    <t xml:space="preserve">Funnel</t>
  </si>
  <si>
    <t xml:space="preserve">viewed_at</t>
  </si>
  <si>
    <t xml:space="preserve">Task viewed time</t>
  </si>
  <si>
    <t xml:space="preserve">2026-08-05 19:36:29</t>
  </si>
  <si>
    <t xml:space="preserve">&lt;= started_at</t>
  </si>
  <si>
    <t xml:space="preserve">started_at</t>
  </si>
  <si>
    <t xml:space="preserve">Attempt start</t>
  </si>
  <si>
    <t xml:space="preserve">2026-08-05 19:38:50</t>
  </si>
  <si>
    <t xml:space="preserve">&gt;= viewed_at</t>
  </si>
  <si>
    <t xml:space="preserve">completed_at</t>
  </si>
  <si>
    <t xml:space="preserve">Completion time</t>
  </si>
  <si>
    <t xml:space="preserve">2026-08-05 19:41:00</t>
  </si>
  <si>
    <t xml:space="preserve">Not null if status = Completed; &gt;= started_at</t>
  </si>
  <si>
    <t xml:space="preserve">Cycle time</t>
  </si>
  <si>
    <t xml:space="preserve">Attempt outcome</t>
  </si>
  <si>
    <t xml:space="preserve">Completed, Abandoned, Failed, Pending</t>
  </si>
  <si>
    <t xml:space="preserve">Completion rate</t>
  </si>
  <si>
    <t xml:space="preserve">Why the attempt failed (Proposed classification)</t>
  </si>
  <si>
    <t xml:space="preserve">validation_failed</t>
  </si>
  <si>
    <t xml:space="preserve">Proposed: tracking_failed, validation_failed, task_unavailable, timeout, incomplete_action, user_exited, system_error</t>
  </si>
  <si>
    <t xml:space="preserve">Required if status is Failed or Abandoned</t>
  </si>
  <si>
    <t xml:space="preserve">Simulated dataset (Data_01) (reason text in simulated data)</t>
  </si>
  <si>
    <t xml:space="preserve">Validation result</t>
  </si>
  <si>
    <t xml:space="preserve">validated</t>
  </si>
  <si>
    <t xml:space="preserve">validated, rejected, pending</t>
  </si>
  <si>
    <t xml:space="preserve">Reward gating</t>
  </si>
  <si>
    <t xml:space="preserve">reward_status</t>
  </si>
  <si>
    <t xml:space="preserve">Reward state for the attempt</t>
  </si>
  <si>
    <t xml:space="preserve">Credited</t>
  </si>
  <si>
    <t xml:space="preserve">Credited, Not Credited, Pending</t>
  </si>
  <si>
    <t xml:space="preserve">Credited only if status = Completed</t>
  </si>
  <si>
    <t xml:space="preserve">Reward reconciliation</t>
  </si>
  <si>
    <t xml:space="preserve">Unique reward record</t>
  </si>
  <si>
    <t xml:space="preserve">RWD000001</t>
  </si>
  <si>
    <t xml:space="preserve">Recipient</t>
  </si>
  <si>
    <t xml:space="preserve">Origin of the reward</t>
  </si>
  <si>
    <t xml:space="preserve">task</t>
  </si>
  <si>
    <t xml:space="preserve">task, daily_reward, streak, mission, spin, referral, adjustment</t>
  </si>
  <si>
    <t xml:space="preserve">Reward by source</t>
  </si>
  <si>
    <t xml:space="preserve">Id of the originating record</t>
  </si>
  <si>
    <t xml:space="preserve">ACT0000003</t>
  </si>
  <si>
    <t xml:space="preserve">Must exist in source table</t>
  </si>
  <si>
    <t xml:space="preserve">Traceability</t>
  </si>
  <si>
    <t xml:space="preserve">Reward value</t>
  </si>
  <si>
    <t xml:space="preserve">&gt;0</t>
  </si>
  <si>
    <t xml:space="preserve">Positive; precision defined by unit</t>
  </si>
  <si>
    <t xml:space="preserve">Value analysis</t>
  </si>
  <si>
    <t xml:space="preserve">Reward currency</t>
  </si>
  <si>
    <t xml:space="preserve">VE</t>
  </si>
  <si>
    <t xml:space="preserve">Approved list (A008)</t>
  </si>
  <si>
    <t xml:space="preserve">Unit consistency</t>
  </si>
  <si>
    <t xml:space="preserve">Reward state</t>
  </si>
  <si>
    <t xml:space="preserve">credited</t>
  </si>
  <si>
    <t xml:space="preserve">pending, credited, reversed, corrected</t>
  </si>
  <si>
    <t xml:space="preserve">created_at</t>
  </si>
  <si>
    <t xml:space="preserve">Reward created</t>
  </si>
  <si>
    <t xml:space="preserve">2026-08-05T19:41:10Z</t>
  </si>
  <si>
    <t xml:space="preserve">Time</t>
  </si>
  <si>
    <t xml:space="preserve">credited_at</t>
  </si>
  <si>
    <t xml:space="preserve">Wallet credit time</t>
  </si>
  <si>
    <t xml:space="preserve">2026-08-05T19:41:12Z</t>
  </si>
  <si>
    <t xml:space="preserve">&gt;= created_at</t>
  </si>
  <si>
    <t xml:space="preserve">Delay</t>
  </si>
  <si>
    <t xml:space="preserve">Reward being reversed/corrected</t>
  </si>
  <si>
    <t xml:space="preserve">Required for reversal/correction</t>
  </si>
  <si>
    <t xml:space="preserve">Linking</t>
  </si>
  <si>
    <t xml:space="preserve">Ledger entry for credit</t>
  </si>
  <si>
    <t xml:space="preserve">WTX0000001</t>
  </si>
  <si>
    <t xml:space="preserve">FK to Wallet Transactions</t>
  </si>
  <si>
    <t xml:space="preserve">Reconciliation</t>
  </si>
  <si>
    <t xml:space="preserve">Wallet Transactions</t>
  </si>
  <si>
    <t xml:space="preserve">Unique ledger entry</t>
  </si>
  <si>
    <t xml:space="preserve">Unique; immutable</t>
  </si>
  <si>
    <t xml:space="preserve">Wallet owner</t>
  </si>
  <si>
    <t xml:space="preserve">transaction_ts</t>
  </si>
  <si>
    <t xml:space="preserve">Posting time</t>
  </si>
  <si>
    <t xml:space="preserve">Kind of entry</t>
  </si>
  <si>
    <t xml:space="preserve">reward_credit</t>
  </si>
  <si>
    <t xml:space="preserve">reward_credit, redemption, reversal, adjustment, exchange (all Proposed)</t>
  </si>
  <si>
    <t xml:space="preserve">Signed amount</t>
  </si>
  <si>
    <t xml:space="preserve">non-zero</t>
  </si>
  <si>
    <t xml:space="preserve">Credits positive, debits negative by rule</t>
  </si>
  <si>
    <t xml:space="preserve">Volume</t>
  </si>
  <si>
    <t xml:space="preserve">Currency</t>
  </si>
  <si>
    <t xml:space="preserve">Entry state</t>
  </si>
  <si>
    <t xml:space="preserve">completed</t>
  </si>
  <si>
    <t xml:space="preserve">created, completed, reversed, failed</t>
  </si>
  <si>
    <t xml:space="preserve">source</t>
  </si>
  <si>
    <t xml:space="preserve">Origin system</t>
  </si>
  <si>
    <t xml:space="preserve">reward_engine</t>
  </si>
  <si>
    <t xml:space="preserve">Attribution</t>
  </si>
  <si>
    <t xml:space="preserve">Id of triggering record</t>
  </si>
  <si>
    <t xml:space="preserve">Must exist</t>
  </si>
  <si>
    <t xml:space="preserve">Original entry for reversal/correction</t>
  </si>
  <si>
    <t xml:space="preserve">FK to same table</t>
  </si>
  <si>
    <t xml:space="preserve">Reversal links</t>
  </si>
  <si>
    <t xml:space="preserve">Balance after posting (per unit)</t>
  </si>
  <si>
    <t xml:space="preserve">150</t>
  </si>
  <si>
    <t xml:space="preserve">Reconciles with ledger</t>
  </si>
  <si>
    <t xml:space="preserve">Unique request</t>
  </si>
  <si>
    <t xml:space="preserve">WDR000001</t>
  </si>
  <si>
    <t xml:space="preserve">Requester</t>
  </si>
  <si>
    <t xml:space="preserve">requested_amount</t>
  </si>
  <si>
    <t xml:space="preserve">Amount requested</t>
  </si>
  <si>
    <t xml:space="preserve">500</t>
  </si>
  <si>
    <t xml:space="preserve">Positive</t>
  </si>
  <si>
    <t xml:space="preserve">Currency of request</t>
  </si>
  <si>
    <t xml:space="preserve">Unit</t>
  </si>
  <si>
    <t xml:space="preserve">Payout method</t>
  </si>
  <si>
    <t xml:space="preserve">(to be defined, A010)</t>
  </si>
  <si>
    <t xml:space="preserve">Method distribution</t>
  </si>
  <si>
    <t xml:space="preserve">requested_at</t>
  </si>
  <si>
    <t xml:space="preserve">Request time</t>
  </si>
  <si>
    <t xml:space="preserve">2026-08-06T09:00:00Z</t>
  </si>
  <si>
    <t xml:space="preserve">processing_at</t>
  </si>
  <si>
    <t xml:space="preserve">Start of review</t>
  </si>
  <si>
    <t xml:space="preserve">2026-08-06T10:00:00Z</t>
  </si>
  <si>
    <t xml:space="preserve">&gt;= requested_at</t>
  </si>
  <si>
    <t xml:space="preserve">Queue time</t>
  </si>
  <si>
    <t xml:space="preserve">final_at</t>
  </si>
  <si>
    <t xml:space="preserve">Terminal state time</t>
  </si>
  <si>
    <t xml:space="preserve">2026-08-07T09:00:00Z</t>
  </si>
  <si>
    <t xml:space="preserve">&gt;= processing_at</t>
  </si>
  <si>
    <t xml:space="preserve">Processing time</t>
  </si>
  <si>
    <t xml:space="preserve">requested, processing, completed, rejected, reversed</t>
  </si>
  <si>
    <t xml:space="preserve">Valid transitions only</t>
  </si>
  <si>
    <t xml:space="preserve">Status KPIs</t>
  </si>
  <si>
    <t xml:space="preserve">Reason for rejection/reversal</t>
  </si>
  <si>
    <t xml:space="preserve">verification_incomplete</t>
  </si>
  <si>
    <t xml:space="preserve">Required when rejected or reversed</t>
  </si>
  <si>
    <t xml:space="preserve">Unique referral</t>
  </si>
  <si>
    <t xml:space="preserve">REF000001</t>
  </si>
  <si>
    <t xml:space="preserve">Inviting user</t>
  </si>
  <si>
    <t xml:space="preserve">VLUSR000010</t>
  </si>
  <si>
    <t xml:space="preserve">Invited user</t>
  </si>
  <si>
    <t xml:space="preserve">VLUSR000500</t>
  </si>
  <si>
    <t xml:space="preserve">FK to Users; != referrer</t>
  </si>
  <si>
    <t xml:space="preserve">Referral created</t>
  </si>
  <si>
    <t xml:space="preserve">2026-07-01T08:00:00Z</t>
  </si>
  <si>
    <t xml:space="preserve">registered_at</t>
  </si>
  <si>
    <t xml:space="preserve">Referred user registered</t>
  </si>
  <si>
    <t xml:space="preserve">2026-07-02T09:00:00Z</t>
  </si>
  <si>
    <t xml:space="preserve">activated_at</t>
  </si>
  <si>
    <t xml:space="preserve">Activation time</t>
  </si>
  <si>
    <t xml:space="preserve">2026-07-05T09:00:00Z</t>
  </si>
  <si>
    <t xml:space="preserve">&gt;= registered_at</t>
  </si>
  <si>
    <t xml:space="preserve">converted_at</t>
  </si>
  <si>
    <t xml:space="preserve">Conversion time</t>
  </si>
  <si>
    <t xml:space="preserve">2026-07-10T09:00:00Z</t>
  </si>
  <si>
    <t xml:space="preserve">&gt;= activated_at</t>
  </si>
  <si>
    <t xml:space="preserve">Funnel stage</t>
  </si>
  <si>
    <t xml:space="preserve">activated</t>
  </si>
  <si>
    <t xml:space="preserve">created, registered, activated, converted, expired</t>
  </si>
  <si>
    <t xml:space="preserve">Stage counts</t>
  </si>
  <si>
    <t xml:space="preserve">Channel</t>
  </si>
  <si>
    <t xml:space="preserve">Proposed - backend / Simulated dataset (Data_01)</t>
  </si>
  <si>
    <t xml:space="preserve">Feature Events</t>
  </si>
  <si>
    <t xml:space="preserve">Unique event id</t>
  </si>
  <si>
    <t xml:space="preserve">EVT00000001</t>
  </si>
  <si>
    <t xml:space="preserve">Acting user</t>
  </si>
  <si>
    <t xml:space="preserve">Session</t>
  </si>
  <si>
    <t xml:space="preserve">Grouping</t>
  </si>
  <si>
    <t xml:space="preserve">event_name</t>
  </si>
  <si>
    <t xml:space="preserve">Event in object_action form</t>
  </si>
  <si>
    <t xml:space="preserve">Approved catalogue</t>
  </si>
  <si>
    <t xml:space="preserve">Must be in event catalogue</t>
  </si>
  <si>
    <t xml:space="preserve">Simulated dataset (Data_01) (names differ from Proposed catalogue)</t>
  </si>
  <si>
    <t xml:space="preserve">Event analysis</t>
  </si>
  <si>
    <t xml:space="preserve">Event time</t>
  </si>
  <si>
    <t xml:space="preserve">2026-08-11T10:30:03Z</t>
  </si>
  <si>
    <t xml:space="preserve">Valid; within session bounds</t>
  </si>
  <si>
    <t xml:space="preserve">Simulated dataset (Data_01) (event_datetime)</t>
  </si>
  <si>
    <t xml:space="preserve">Normalised case</t>
  </si>
  <si>
    <t xml:space="preserve">Simulated dataset (Data_01) (feature_name)</t>
  </si>
  <si>
    <t xml:space="preserve">Feature usage</t>
  </si>
  <si>
    <t xml:space="preserve">event_status</t>
  </si>
  <si>
    <t xml:space="preserve">Outcome state</t>
  </si>
  <si>
    <t xml:space="preserve">Success</t>
  </si>
  <si>
    <t xml:space="preserve">Started, Success, Abandoned, Failed</t>
  </si>
  <si>
    <t xml:space="preserve">Exact, trimmed values</t>
  </si>
  <si>
    <t xml:space="preserve">Success rates</t>
  </si>
  <si>
    <t xml:space="preserve">sequence_number</t>
  </si>
  <si>
    <t xml:space="preserve">Order inside session</t>
  </si>
  <si>
    <t xml:space="preserve">3</t>
  </si>
  <si>
    <t xml:space="preserve">&gt;=1</t>
  </si>
  <si>
    <t xml:space="preserve">Unique within session</t>
  </si>
  <si>
    <t xml:space="preserve">Sequencing</t>
  </si>
  <si>
    <t xml:space="preserve">I - KPI Catalogue (54 KPIs) - definitions only; no company targets</t>
  </si>
  <si>
    <t xml:space="preserve">KPI ID</t>
  </si>
  <si>
    <t xml:space="preserve">Area</t>
  </si>
  <si>
    <t xml:space="preserve">KPI Name</t>
  </si>
  <si>
    <t xml:space="preserve">Formula</t>
  </si>
  <si>
    <t xml:space="preserve">Required Fields</t>
  </si>
  <si>
    <t xml:space="preserve">Data Source</t>
  </si>
  <si>
    <t xml:space="preserve">Frequency</t>
  </si>
  <si>
    <t xml:space="preserve">Stakeholder</t>
  </si>
  <si>
    <t xml:space="preserve">Interpretation</t>
  </si>
  <si>
    <t xml:space="preserve">Limitation</t>
  </si>
  <si>
    <t xml:space="preserve">Testable on supplied simulated data?</t>
  </si>
  <si>
    <t xml:space="preserve">K-U01</t>
  </si>
  <si>
    <t xml:space="preserve">User</t>
  </si>
  <si>
    <t xml:space="preserve">New registrations</t>
  </si>
  <si>
    <t xml:space="preserve">Distinct users whose account was created in the period</t>
  </si>
  <si>
    <t xml:space="preserve">COUNT(DISTINCT user_id) WHERE registration_ts in period</t>
  </si>
  <si>
    <t xml:space="preserve">user_id, registration_ts</t>
  </si>
  <si>
    <t xml:space="preserve">Users / user_registered</t>
  </si>
  <si>
    <t xml:space="preserve">Daily</t>
  </si>
  <si>
    <t xml:space="preserve">Product, Growth</t>
  </si>
  <si>
    <t xml:space="preserve">Measure intake</t>
  </si>
  <si>
    <t xml:space="preserve">Rising count = more sign-ups; interpret with source mix</t>
  </si>
  <si>
    <t xml:space="preserve">Counts accounts, not unique people; duplicates must be removed first</t>
  </si>
  <si>
    <t xml:space="preserve">Yes - Task 01 Users sheet</t>
  </si>
  <si>
    <t xml:space="preserve">K-U02</t>
  </si>
  <si>
    <t xml:space="preserve">Registrations by acquisition source</t>
  </si>
  <si>
    <t xml:space="preserve">New registrations split by acquisition_source</t>
  </si>
  <si>
    <t xml:space="preserve">registrations per source / total registrations</t>
  </si>
  <si>
    <t xml:space="preserve">user_id, acquisition_source, registration_ts</t>
  </si>
  <si>
    <t xml:space="preserve">Weekly</t>
  </si>
  <si>
    <t xml:space="preserve">Growth</t>
  </si>
  <si>
    <t xml:space="preserve">Channel mix</t>
  </si>
  <si>
    <t xml:space="preserve">Shows dependence on channels</t>
  </si>
  <si>
    <t xml:space="preserve">Source taxonomy to be agreed; "Other" hides detail</t>
  </si>
  <si>
    <t xml:space="preserve">K-U03</t>
  </si>
  <si>
    <t xml:space="preserve">Daily Active Users (DAU)</t>
  </si>
  <si>
    <t xml:space="preserve">Unique users generating a qualifying activity event within a calendar day</t>
  </si>
  <si>
    <t xml:space="preserve">COUNT(DISTINCT user_id) with &gt;=1 qualifying event on date D</t>
  </si>
  <si>
    <t xml:space="preserve">user_id, event_ts, event_name</t>
  </si>
  <si>
    <t xml:space="preserve">Event stream</t>
  </si>
  <si>
    <t xml:space="preserve">Product, Management</t>
  </si>
  <si>
    <t xml:space="preserve">Core activity</t>
  </si>
  <si>
    <t xml:space="preserve">Compare with MAU for stickiness</t>
  </si>
  <si>
    <t xml:space="preserve">Depends on the list of qualifying events (A017) and time zone (A015)</t>
  </si>
  <si>
    <t xml:space="preserve">Yes - supplementary dataset only</t>
  </si>
  <si>
    <t xml:space="preserve">K-U04</t>
  </si>
  <si>
    <t xml:space="preserve">Monthly Active Users (MAU)</t>
  </si>
  <si>
    <t xml:space="preserve">Unique users with a qualifying event in a rolling 30 days</t>
  </si>
  <si>
    <t xml:space="preserve">COUNT(DISTINCT user_id) WHERE event_ts in last 30 days</t>
  </si>
  <si>
    <t xml:space="preserve">user_id, event_ts</t>
  </si>
  <si>
    <t xml:space="preserve">Management</t>
  </si>
  <si>
    <t xml:space="preserve">Scale of use</t>
  </si>
  <si>
    <t xml:space="preserve">Context for DAU/MAU</t>
  </si>
  <si>
    <t xml:space="preserve">Same as DAU</t>
  </si>
  <si>
    <t xml:space="preserve">Email verification rate</t>
  </si>
  <si>
    <t xml:space="preserve">Share of registered users with verified email</t>
  </si>
  <si>
    <t xml:space="preserve">verified users / registered users</t>
  </si>
  <si>
    <t xml:space="preserve">user_id, email_verification_status</t>
  </si>
  <si>
    <t xml:space="preserve">Funnel health</t>
  </si>
  <si>
    <t xml:space="preserve">Low rate suggests friction</t>
  </si>
  <si>
    <t xml:space="preserve">Current-state flag only; no verification timestamp</t>
  </si>
  <si>
    <t xml:space="preserve">K-U06</t>
  </si>
  <si>
    <t xml:space="preserve">Returning users</t>
  </si>
  <si>
    <t xml:space="preserve">Users with qualifying activity in the period who registered before the period start</t>
  </si>
  <si>
    <t xml:space="preserve">COUNT(DISTINCT user_id) active in period AND registration_ts &lt; period start</t>
  </si>
  <si>
    <t xml:space="preserve">user_id, registration_ts, event_ts</t>
  </si>
  <si>
    <t xml:space="preserve">Users + events</t>
  </si>
  <si>
    <t xml:space="preserve">Retention proxy</t>
  </si>
  <si>
    <t xml:space="preserve">Higher is healthier</t>
  </si>
  <si>
    <t xml:space="preserve">Not a cohort retention curve</t>
  </si>
  <si>
    <t xml:space="preserve">Onboarding completion rate</t>
  </si>
  <si>
    <t xml:space="preserve">Share of registered users with onboarding Completed</t>
  </si>
  <si>
    <t xml:space="preserve">users with onboarding_status = Completed / registered users</t>
  </si>
  <si>
    <t xml:space="preserve">user_id, onboarding_status</t>
  </si>
  <si>
    <t xml:space="preserve">Drop shows onboarding friction</t>
  </si>
  <si>
    <t xml:space="preserve">Three states only; no step detail</t>
  </si>
  <si>
    <t xml:space="preserve">K-U08</t>
  </si>
  <si>
    <t xml:space="preserve">Suspended account share</t>
  </si>
  <si>
    <t xml:space="preserve">Share of accounts currently Suspended</t>
  </si>
  <si>
    <t xml:space="preserve">Suspended / all accounts</t>
  </si>
  <si>
    <t xml:space="preserve">user_id, account_status</t>
  </si>
  <si>
    <t xml:space="preserve">Risk monitoring</t>
  </si>
  <si>
    <t xml:space="preserve">Rise warrants review</t>
  </si>
  <si>
    <t xml:space="preserve">No reason or timing without status history</t>
  </si>
  <si>
    <t xml:space="preserve">K-U09</t>
  </si>
  <si>
    <t xml:space="preserve">Status transitions</t>
  </si>
  <si>
    <t xml:space="preserve">Count of account_status_changed events by old to new status</t>
  </si>
  <si>
    <t xml:space="preserve">COUNT(*) GROUP BY old_status, new_status</t>
  </si>
  <si>
    <t xml:space="preserve">status history</t>
  </si>
  <si>
    <t xml:space="preserve">Lifecycle flow</t>
  </si>
  <si>
    <t xml:space="preserve">Shows churn and suspension flow</t>
  </si>
  <si>
    <t xml:space="preserve">Table does not exist yet (A011)</t>
  </si>
  <si>
    <t xml:space="preserve">No - source table not supplied</t>
  </si>
  <si>
    <t xml:space="preserve">K-U10</t>
  </si>
  <si>
    <t xml:space="preserve">Registrations by device and platform</t>
  </si>
  <si>
    <t xml:space="preserve">New registrations by primary_device and platform</t>
  </si>
  <si>
    <t xml:space="preserve">registrations per device / total</t>
  </si>
  <si>
    <t xml:space="preserve">user_id, primary_device, platform</t>
  </si>
  <si>
    <t xml:space="preserve">Product, Engineering</t>
  </si>
  <si>
    <t xml:space="preserve">Prioritise platforms</t>
  </si>
  <si>
    <t xml:space="preserve">Android-heavy mix would favour mobile-first design</t>
  </si>
  <si>
    <t xml:space="preserve">One platform value in sample</t>
  </si>
  <si>
    <t xml:space="preserve">Consent acceptance rate</t>
  </si>
  <si>
    <t xml:space="preserve">Share of users whose consent_status = Accepted</t>
  </si>
  <si>
    <t xml:space="preserve">Accepted / all users</t>
  </si>
  <si>
    <t xml:space="preserve">user_id, consent_status</t>
  </si>
  <si>
    <t xml:space="preserve">Legal, Product</t>
  </si>
  <si>
    <t xml:space="preserve">Pending users may be restricted</t>
  </si>
  <si>
    <t xml:space="preserve">No consent timestamp</t>
  </si>
  <si>
    <t xml:space="preserve">K-U12</t>
  </si>
  <si>
    <t xml:space="preserve">Inactive users</t>
  </si>
  <si>
    <t xml:space="preserve">Users with no qualifying activity in the last 30 days</t>
  </si>
  <si>
    <t xml:space="preserve">registered users - K-U04 users</t>
  </si>
  <si>
    <t xml:space="preserve">Re-engagement target</t>
  </si>
  <si>
    <t xml:space="preserve">Large share = churn risk</t>
  </si>
  <si>
    <t xml:space="preserve">Needs agreed activity definition</t>
  </si>
  <si>
    <t xml:space="preserve">K-E01</t>
  </si>
  <si>
    <t xml:space="preserve">Task starts</t>
  </si>
  <si>
    <t xml:space="preserve">Count of task attempts started in period</t>
  </si>
  <si>
    <t xml:space="preserve">COUNT(task_started)</t>
  </si>
  <si>
    <t xml:space="preserve">task_activity_id, started_at</t>
  </si>
  <si>
    <t xml:space="preserve">Volume of earning intent</t>
  </si>
  <si>
    <t xml:space="preserve">Trend and mix by feature</t>
  </si>
  <si>
    <t xml:space="preserve">Needs verified task_started event</t>
  </si>
  <si>
    <t xml:space="preserve">Task view-to-start rate</t>
  </si>
  <si>
    <t xml:space="preserve">Share of viewed tasks that were started</t>
  </si>
  <si>
    <t xml:space="preserve">started attempts / viewed tasks</t>
  </si>
  <si>
    <t xml:space="preserve">task_viewed, task_started</t>
  </si>
  <si>
    <t xml:space="preserve">Task Activity / events</t>
  </si>
  <si>
    <t xml:space="preserve">Task attractiveness</t>
  </si>
  <si>
    <t xml:space="preserve">Low = uninteresting task or friction</t>
  </si>
  <si>
    <t xml:space="preserve">Views not always logged</t>
  </si>
  <si>
    <t xml:space="preserve">K-E03</t>
  </si>
  <si>
    <t xml:space="preserve">Task completion rate</t>
  </si>
  <si>
    <t xml:space="preserve">Share of started attempts ending Completed</t>
  </si>
  <si>
    <t xml:space="preserve">Completed attempts / (started attempts excluding Pending)</t>
  </si>
  <si>
    <t xml:space="preserve">Product, Operations</t>
  </si>
  <si>
    <t xml:space="preserve">Experience quality</t>
  </si>
  <si>
    <t xml:space="preserve">Compare by task type</t>
  </si>
  <si>
    <t xml:space="preserve">Pending attempts must be excluded or shown separately</t>
  </si>
  <si>
    <t xml:space="preserve">K-E04</t>
  </si>
  <si>
    <t xml:space="preserve">Task completions by feature</t>
  </si>
  <si>
    <t xml:space="preserve">Completed attempts by feature/task type</t>
  </si>
  <si>
    <t xml:space="preserve">COUNT(Completed) GROUP BY task_type</t>
  </si>
  <si>
    <t xml:space="preserve">task_type, status</t>
  </si>
  <si>
    <t xml:space="preserve">Feature value</t>
  </si>
  <si>
    <t xml:space="preserve">Shows which mechanics deliver</t>
  </si>
  <si>
    <t xml:space="preserve">Feature naming to be normalised</t>
  </si>
  <si>
    <t xml:space="preserve">Task failure and abandonment rate</t>
  </si>
  <si>
    <t xml:space="preserve">Share of attempts Failed or Abandoned</t>
  </si>
  <si>
    <t xml:space="preserve">(Failed+Abandoned)/ non-pending attempts</t>
  </si>
  <si>
    <t xml:space="preserve">Quality loss</t>
  </si>
  <si>
    <t xml:space="preserve">High = friction or defects</t>
  </si>
  <si>
    <t xml:space="preserve">Causes differ: user vs system</t>
  </si>
  <si>
    <t xml:space="preserve">K-E06</t>
  </si>
  <si>
    <t xml:space="preserve">Failures by category</t>
  </si>
  <si>
    <t xml:space="preserve">Failed attempts by failure_category</t>
  </si>
  <si>
    <t xml:space="preserve">COUNT(Failed) GROUP BY category</t>
  </si>
  <si>
    <t xml:space="preserve">Fix priorities</t>
  </si>
  <si>
    <t xml:space="preserve">Largest category first</t>
  </si>
  <si>
    <t xml:space="preserve">Categories are Proposed</t>
  </si>
  <si>
    <t xml:space="preserve">K-E07</t>
  </si>
  <si>
    <t xml:space="preserve">Daily reward claim rate</t>
  </si>
  <si>
    <t xml:space="preserve">Active users who claimed the daily reward</t>
  </si>
  <si>
    <t xml:space="preserve">daily claimers / DAU</t>
  </si>
  <si>
    <t xml:space="preserve">daily_reward_claimed, user_id</t>
  </si>
  <si>
    <t xml:space="preserve">Events</t>
  </si>
  <si>
    <t xml:space="preserve">Habit mechanic</t>
  </si>
  <si>
    <t xml:space="preserve">Higher = stronger habit</t>
  </si>
  <si>
    <t xml:space="preserve">Needs verified event</t>
  </si>
  <si>
    <t xml:space="preserve">K-E08</t>
  </si>
  <si>
    <t xml:space="preserve">Daily claimers</t>
  </si>
  <si>
    <t xml:space="preserve">Unique users with daily_reward_claimed on the date</t>
  </si>
  <si>
    <t xml:space="preserve">COUNT(DISTINCT user_id)</t>
  </si>
  <si>
    <t xml:space="preserve">user_id, claim_date</t>
  </si>
  <si>
    <t xml:space="preserve">Habit volume</t>
  </si>
  <si>
    <t xml:space="preserve">Trend</t>
  </si>
  <si>
    <t xml:space="preserve">Average session duration</t>
  </si>
  <si>
    <t xml:space="preserve">Mean session length</t>
  </si>
  <si>
    <t xml:space="preserve">AVG(session_end - session_start)</t>
  </si>
  <si>
    <t xml:space="preserve">session_start_ts, session_end_ts</t>
  </si>
  <si>
    <t xml:space="preserve">Depth of use</t>
  </si>
  <si>
    <t xml:space="preserve">Longer is not always better</t>
  </si>
  <si>
    <t xml:space="preserve">Sessions without explicit logout need timeout rule</t>
  </si>
  <si>
    <t xml:space="preserve">Streak continuation rate</t>
  </si>
  <si>
    <t xml:space="preserve">Share of streak updates that extend rather than break</t>
  </si>
  <si>
    <t xml:space="preserve">extended / (extended+broken)</t>
  </si>
  <si>
    <t xml:space="preserve">change_type</t>
  </si>
  <si>
    <t xml:space="preserve">Streak value</t>
  </si>
  <si>
    <t xml:space="preserve">Low = streak too hard</t>
  </si>
  <si>
    <t xml:space="preserve">Event is Proposed</t>
  </si>
  <si>
    <t xml:space="preserve">Completed missions / started missions</t>
  </si>
  <si>
    <t xml:space="preserve">mission_completed / mission_started</t>
  </si>
  <si>
    <t xml:space="preserve">mission_id, status</t>
  </si>
  <si>
    <t xml:space="preserve">Goal design</t>
  </si>
  <si>
    <t xml:space="preserve">Compare missions</t>
  </si>
  <si>
    <t xml:space="preserve">Badge and level progression</t>
  </si>
  <si>
    <t xml:space="preserve">Badges earned and level-ups per active user</t>
  </si>
  <si>
    <t xml:space="preserve">events / DAU</t>
  </si>
  <si>
    <t xml:space="preserve">badge_earned, level_increased</t>
  </si>
  <si>
    <t xml:space="preserve">Monthly</t>
  </si>
  <si>
    <t xml:space="preserve">Progression health</t>
  </si>
  <si>
    <t xml:space="preserve">Low priority</t>
  </si>
  <si>
    <t xml:space="preserve">Unique users who started a spin per period</t>
  </si>
  <si>
    <t xml:space="preserve">COUNT(DISTINCT user_id) spin_started</t>
  </si>
  <si>
    <t xml:space="preserve">Bonus mechanic use</t>
  </si>
  <si>
    <t xml:space="preserve">Unique users and events per feature</t>
  </si>
  <si>
    <t xml:space="preserve">COUNT(DISTINCT user_id) GROUP BY feature</t>
  </si>
  <si>
    <t xml:space="preserve">feature, user_id</t>
  </si>
  <si>
    <t xml:space="preserve">Adoption</t>
  </si>
  <si>
    <t xml:space="preserve">Rank features</t>
  </si>
  <si>
    <t xml:space="preserve">Feature list unverified</t>
  </si>
  <si>
    <t xml:space="preserve">K-E15</t>
  </si>
  <si>
    <t xml:space="preserve">Repeat usage</t>
  </si>
  <si>
    <t xml:space="preserve">Share of feature users who used it on 2+ distinct days</t>
  </si>
  <si>
    <t xml:space="preserve">users with &gt;=2 active days in feature / feature users</t>
  </si>
  <si>
    <t xml:space="preserve">user_id, feature, date</t>
  </si>
  <si>
    <t xml:space="preserve">Stickiness</t>
  </si>
  <si>
    <t xml:space="preserve">High = repeat value</t>
  </si>
  <si>
    <t xml:space="preserve">Window length matters</t>
  </si>
  <si>
    <t xml:space="preserve">K-R01</t>
  </si>
  <si>
    <t xml:space="preserve">Reward</t>
  </si>
  <si>
    <t xml:space="preserve">Reward credits</t>
  </si>
  <si>
    <t xml:space="preserve">Count and amount of rewards actually credited</t>
  </si>
  <si>
    <t xml:space="preserve">COUNT/SUM(amount) WHERE status = credited, by unit</t>
  </si>
  <si>
    <t xml:space="preserve">reward_id, amount, unit, status</t>
  </si>
  <si>
    <t xml:space="preserve">Finance, Product</t>
  </si>
  <si>
    <t xml:space="preserve">Never add amounts across units</t>
  </si>
  <si>
    <t xml:space="preserve">Rewards table not supplied</t>
  </si>
  <si>
    <t xml:space="preserve">K-R02</t>
  </si>
  <si>
    <t xml:space="preserve">Reward activity by feature</t>
  </si>
  <si>
    <t xml:space="preserve">Credited rewards by source_type</t>
  </si>
  <si>
    <t xml:space="preserve">SUM(amount) GROUP BY source_type, unit</t>
  </si>
  <si>
    <t xml:space="preserve">source_type, amount</t>
  </si>
  <si>
    <t xml:space="preserve">Cost by mechanic</t>
  </si>
  <si>
    <t xml:space="preserve">Shows reward concentration</t>
  </si>
  <si>
    <t xml:space="preserve">Pending reward queue</t>
  </si>
  <si>
    <t xml:space="preserve">Rewards pending and their age</t>
  </si>
  <si>
    <t xml:space="preserve">COUNT pending; AVG(now - created_at)</t>
  </si>
  <si>
    <t xml:space="preserve">reward_id, status, created_at</t>
  </si>
  <si>
    <t xml:space="preserve">Delay control</t>
  </si>
  <si>
    <t xml:space="preserve">Old items indicate stuck validation</t>
  </si>
  <si>
    <t xml:space="preserve">Needs reward_pending state (A007)</t>
  </si>
  <si>
    <t xml:space="preserve">Reward reversal rate</t>
  </si>
  <si>
    <t xml:space="preserve">Reversed rewards as share of credited</t>
  </si>
  <si>
    <t xml:space="preserve">COUNT reversed / COUNT credited</t>
  </si>
  <si>
    <t xml:space="preserve">status, original_reward_id</t>
  </si>
  <si>
    <t xml:space="preserve">Finance, Operations</t>
  </si>
  <si>
    <t xml:space="preserve">Rising = tracking or fraud issues</t>
  </si>
  <si>
    <t xml:space="preserve">Cause cannot be inferred without reason_category</t>
  </si>
  <si>
    <t xml:space="preserve">K-R05</t>
  </si>
  <si>
    <t xml:space="preserve">Credit reconciliation</t>
  </si>
  <si>
    <t xml:space="preserve">Completed attempts with a credit vs without</t>
  </si>
  <si>
    <t xml:space="preserve">completed attempts with reward_status Credited / completed attempts</t>
  </si>
  <si>
    <t xml:space="preserve">status, reward_status</t>
  </si>
  <si>
    <t xml:space="preserve">Task Activity + Rewards</t>
  </si>
  <si>
    <t xml:space="preserve">Engineering, Finance</t>
  </si>
  <si>
    <t xml:space="preserve">Data trust</t>
  </si>
  <si>
    <t xml:space="preserve">Should be 100% unless pending</t>
  </si>
  <si>
    <t xml:space="preserve">Task Activity alone cannot prove wallet credit</t>
  </si>
  <si>
    <t xml:space="preserve">Count of ledger entries by type</t>
  </si>
  <si>
    <t xml:space="preserve">COUNT(transaction_id) GROUP BY type</t>
  </si>
  <si>
    <t xml:space="preserve">transaction_id, type</t>
  </si>
  <si>
    <t xml:space="preserve">Finance</t>
  </si>
  <si>
    <t xml:space="preserve">Ledger volume</t>
  </si>
  <si>
    <t xml:space="preserve">Table not supplied</t>
  </si>
  <si>
    <t xml:space="preserve">K-W02</t>
  </si>
  <si>
    <t xml:space="preserve">Credit volume</t>
  </si>
  <si>
    <t xml:space="preserve">Sum of completed credit transactions by unit</t>
  </si>
  <si>
    <t xml:space="preserve">SUM(amount) WHERE type = reward_credit AND status = completed</t>
  </si>
  <si>
    <t xml:space="preserve">amount, unit, status</t>
  </si>
  <si>
    <t xml:space="preserve">Liability growth</t>
  </si>
  <si>
    <t xml:space="preserve">K-W03</t>
  </si>
  <si>
    <t xml:space="preserve">Redemption activity</t>
  </si>
  <si>
    <t xml:space="preserve">Count and amount of redemption entries</t>
  </si>
  <si>
    <t xml:space="preserve">COUNT/SUM WHERE type = redemption</t>
  </si>
  <si>
    <t xml:space="preserve">type, amount</t>
  </si>
  <si>
    <t xml:space="preserve">Value leaving the wallet</t>
  </si>
  <si>
    <t xml:space="preserve">Redemption type is Proposed</t>
  </si>
  <si>
    <t xml:space="preserve">Wallet reversal rate</t>
  </si>
  <si>
    <t xml:space="preserve">Reversed entries as share of completed</t>
  </si>
  <si>
    <t xml:space="preserve">COUNT reversed / COUNT completed</t>
  </si>
  <si>
    <t xml:space="preserve">Ledger integrity</t>
  </si>
  <si>
    <t xml:space="preserve">Exchange usage</t>
  </si>
  <si>
    <t xml:space="preserve">Users and amounts exchanged</t>
  </si>
  <si>
    <t xml:space="preserve">COUNT(DISTINCT user_id), SUM(from_amount)</t>
  </si>
  <si>
    <t xml:space="preserve">Feature existence unverified (A024)</t>
  </si>
  <si>
    <t xml:space="preserve">K-D01</t>
  </si>
  <si>
    <t xml:space="preserve">Withdrawal</t>
  </si>
  <si>
    <t xml:space="preserve">Withdrawal requests</t>
  </si>
  <si>
    <t xml:space="preserve">Count of requests created</t>
  </si>
  <si>
    <t xml:space="preserve">COUNT(withdrawal_id)</t>
  </si>
  <si>
    <t xml:space="preserve">withdrawal_id, requested_at</t>
  </si>
  <si>
    <t xml:space="preserve">Operations, Finance</t>
  </si>
  <si>
    <t xml:space="preserve">K-D02</t>
  </si>
  <si>
    <t xml:space="preserve">Completed withdrawals</t>
  </si>
  <si>
    <t xml:space="preserve">Requests with status completed</t>
  </si>
  <si>
    <t xml:space="preserve">COUNT WHERE status = completed</t>
  </si>
  <si>
    <t xml:space="preserve">Delivery</t>
  </si>
  <si>
    <t xml:space="preserve">K-D03</t>
  </si>
  <si>
    <t xml:space="preserve">Pending withdrawal queue</t>
  </si>
  <si>
    <t xml:space="preserve">Requests requested/processing and not final</t>
  </si>
  <si>
    <t xml:space="preserve">COUNT WHERE status IN (requested, processing)</t>
  </si>
  <si>
    <t xml:space="preserve">Backlog control</t>
  </si>
  <si>
    <t xml:space="preserve">Rising queue = delays</t>
  </si>
  <si>
    <t xml:space="preserve">Rejected withdrawals</t>
  </si>
  <si>
    <t xml:space="preserve">Requests ending rejected, by reason</t>
  </si>
  <si>
    <t xml:space="preserve">COUNT WHERE status = rejected GROUP BY reason_category</t>
  </si>
  <si>
    <t xml:space="preserve">status, reason_category</t>
  </si>
  <si>
    <t xml:space="preserve">Friction and policy</t>
  </si>
  <si>
    <t xml:space="preserve">K-D05</t>
  </si>
  <si>
    <t xml:space="preserve">Time from request to final state</t>
  </si>
  <si>
    <t xml:space="preserve">AVG/MEDIAN(final_at - requested_at) for terminal requests</t>
  </si>
  <si>
    <t xml:space="preserve">requested_at, final_at</t>
  </si>
  <si>
    <t xml:space="preserve">Trust</t>
  </si>
  <si>
    <t xml:space="preserve">Report median and 90th percentile</t>
  </si>
  <si>
    <t xml:space="preserve">Open requests excluded; table not supplied</t>
  </si>
  <si>
    <t xml:space="preserve">K-D06</t>
  </si>
  <si>
    <t xml:space="preserve">Withdrawal volume</t>
  </si>
  <si>
    <t xml:space="preserve">Sum of requested/completed amounts by unit</t>
  </si>
  <si>
    <t xml:space="preserve">SUM(requested_amount) GROUP BY unit, status</t>
  </si>
  <si>
    <t xml:space="preserve">amount, unit</t>
  </si>
  <si>
    <t xml:space="preserve">Cash planning</t>
  </si>
  <si>
    <t xml:space="preserve">Never mix units</t>
  </si>
  <si>
    <t xml:space="preserve">K-D07</t>
  </si>
  <si>
    <t xml:space="preserve">Share of requests by method</t>
  </si>
  <si>
    <t xml:space="preserve">requests per method / total</t>
  </si>
  <si>
    <t xml:space="preserve">Product, Finance</t>
  </si>
  <si>
    <t xml:space="preserve">Method priorities</t>
  </si>
  <si>
    <t xml:space="preserve">Methods unverified (A010)</t>
  </si>
  <si>
    <t xml:space="preserve">Reversed withdrawals</t>
  </si>
  <si>
    <t xml:space="preserve">Completed withdrawals later reversed</t>
  </si>
  <si>
    <t xml:space="preserve">COUNT WHERE status = reversed / completed</t>
  </si>
  <si>
    <t xml:space="preserve">Payment integrity</t>
  </si>
  <si>
    <t xml:space="preserve">K-D09</t>
  </si>
  <si>
    <t xml:space="preserve">Withdrawal completion rate</t>
  </si>
  <si>
    <t xml:space="preserve">Completed share of terminal requests</t>
  </si>
  <si>
    <t xml:space="preserve">completed / (completed+rejected+reversed)</t>
  </si>
  <si>
    <t xml:space="preserve">Service quality</t>
  </si>
  <si>
    <t xml:space="preserve">Referral</t>
  </si>
  <si>
    <t xml:space="preserve">Referrals created</t>
  </si>
  <si>
    <t xml:space="preserve">Referral records created</t>
  </si>
  <si>
    <t xml:space="preserve">COUNT(referral_id)</t>
  </si>
  <si>
    <t xml:space="preserve">Invite volume</t>
  </si>
  <si>
    <t xml:space="preserve">Referrer link absent in supplied data</t>
  </si>
  <si>
    <t xml:space="preserve">Referral registrations</t>
  </si>
  <si>
    <t xml:space="preserve">Referrals with a registered referred user</t>
  </si>
  <si>
    <t xml:space="preserve">COUNT WHERE registered_at IS NOT NULL</t>
  </si>
  <si>
    <t xml:space="preserve">Registration is not conversion</t>
  </si>
  <si>
    <t xml:space="preserve">Referral activations</t>
  </si>
  <si>
    <t xml:space="preserve">Referrals reaching activation definition</t>
  </si>
  <si>
    <t xml:space="preserve">COUNT WHERE activated_at IS NOT NULL</t>
  </si>
  <si>
    <t xml:space="preserve">Quality of referred users</t>
  </si>
  <si>
    <t xml:space="preserve">Definition pending (A013)</t>
  </si>
  <si>
    <t xml:space="preserve">Referral conversions</t>
  </si>
  <si>
    <t xml:space="preserve">Referrals reaching conversion definition</t>
  </si>
  <si>
    <t xml:space="preserve">COUNT WHERE converted_at IS NOT NULL</t>
  </si>
  <si>
    <t xml:space="preserve">Growth, Finance</t>
  </si>
  <si>
    <t xml:space="preserve">Referral value</t>
  </si>
  <si>
    <t xml:space="preserve">K-F05</t>
  </si>
  <si>
    <t xml:space="preserve">Referral stage conversion</t>
  </si>
  <si>
    <t xml:space="preserve">Stage-to-stage conversion rates</t>
  </si>
  <si>
    <t xml:space="preserve">stage n+1 count / stage n count</t>
  </si>
  <si>
    <t xml:space="preserve">status timestamps</t>
  </si>
  <si>
    <t xml:space="preserve">Bottleneck</t>
  </si>
  <si>
    <t xml:space="preserve">Support requests</t>
  </si>
  <si>
    <t xml:space="preserve">Tickets created per period</t>
  </si>
  <si>
    <t xml:space="preserve">COUNT(ticket_id)</t>
  </si>
  <si>
    <t xml:space="preserve">ticket_id</t>
  </si>
  <si>
    <t xml:space="preserve">Source unknown (A023)</t>
  </si>
  <si>
    <t xml:space="preserve">Help-center engagement</t>
  </si>
  <si>
    <t xml:space="preserve">Help article views per active user</t>
  </si>
  <si>
    <t xml:space="preserve">help_article_viewed / DAU</t>
  </si>
  <si>
    <t xml:space="preserve">event</t>
  </si>
  <si>
    <t xml:space="preserve">Content, Operations</t>
  </si>
  <si>
    <t xml:space="preserve">K-S03</t>
  </si>
  <si>
    <t xml:space="preserve">Issue categories</t>
  </si>
  <si>
    <t xml:space="preserve">Tickets by issue_category</t>
  </si>
  <si>
    <t xml:space="preserve">COUNT GROUP BY category</t>
  </si>
  <si>
    <t xml:space="preserve">issue_category</t>
  </si>
  <si>
    <t xml:space="preserve">Operations, Product</t>
  </si>
  <si>
    <t xml:space="preserve">Pain points</t>
  </si>
  <si>
    <t xml:space="preserve">Category list to be agreed</t>
  </si>
  <si>
    <t xml:space="preserve">J1 - Dataset Profiling (T01 = Task 01 file; SUP = supplementary file; both SIMULATED)</t>
  </si>
  <si>
    <t xml:space="preserve">Dataset</t>
  </si>
  <si>
    <t xml:space="preserve">Records</t>
  </si>
  <si>
    <t xml:space="preserve">Columns</t>
  </si>
  <si>
    <t xml:space="preserve">Date Range</t>
  </si>
  <si>
    <t xml:space="preserve">ID Field</t>
  </si>
  <si>
    <t xml:space="preserve">Unique IDs</t>
  </si>
  <si>
    <t xml:space="preserve">Duplicate IDs</t>
  </si>
  <si>
    <t xml:space="preserve">Fully Duplicate Rows</t>
  </si>
  <si>
    <t xml:space="preserve">Missing Cells</t>
  </si>
  <si>
    <t xml:space="preserve">Columns With Missing</t>
  </si>
  <si>
    <t xml:space="preserve">Notes</t>
  </si>
  <si>
    <t xml:space="preserve">T01 Users_1000_Clean</t>
  </si>
  <si>
    <t xml:space="preserve">2026-04-01 02:10:00 to 2026-09-15 19:47:00</t>
  </si>
  <si>
    <t xml:space="preserve">Nulls: referral_source_detail 881 (expected conditional), last_login_datetime 72</t>
  </si>
  <si>
    <t xml:space="preserve">T01 Users_Messy_Audit</t>
  </si>
  <si>
    <t xml:space="preserve">Contains 8 duplicate rows, 9 rows with single missing values, 1 malformed date</t>
  </si>
  <si>
    <t xml:space="preserve">SUP Users_1000</t>
  </si>
  <si>
    <t xml:space="preserve">2026-04-01 02:00:41 to 2026-09-15 20:26:50</t>
  </si>
  <si>
    <t xml:space="preserve">Different people from T01 for the same IDs (DQ-014)</t>
  </si>
  <si>
    <t xml:space="preserve">SUP Sessions</t>
  </si>
  <si>
    <t xml:space="preserve">2026-04-02 20:14:28 to 2026-09-15 22:13:22</t>
  </si>
  <si>
    <t xml:space="preserve">SUP Feature Events</t>
  </si>
  <si>
    <t xml:space="preserve">2026-04-02 20:14:31 to 2026-09-15 22:13:50</t>
  </si>
  <si>
    <t xml:space="preserve">SUP Daily Activity</t>
  </si>
  <si>
    <t xml:space="preserve">2026-04-02 00:00:00 to 2026-09-15 00:00:00</t>
  </si>
  <si>
    <t xml:space="preserve">user_id + activity_date</t>
  </si>
  <si>
    <t xml:space="preserve">Key is (user_id, activity_date); 0 duplicates on that pair</t>
  </si>
  <si>
    <t xml:space="preserve">SUP Task Activity</t>
  </si>
  <si>
    <t xml:space="preserve">2026-04-02 20:14:41 to 2026-09-15 21:51:41</t>
  </si>
  <si>
    <t xml:space="preserve">activity_id</t>
  </si>
  <si>
    <t xml:space="preserve">Nulls are structural (completion time, failure reason)</t>
  </si>
  <si>
    <t xml:space="preserve">SUP Milestones</t>
  </si>
  <si>
    <t xml:space="preserve">2026-04-02 08:18:00 to 2026-09-15 22:13:28</t>
  </si>
  <si>
    <t xml:space="preserve">n/a (many per user by design)</t>
  </si>
  <si>
    <t xml:space="preserve">Not unique by user (several milestones each)</t>
  </si>
  <si>
    <t xml:space="preserve">SUP Event audit sheet</t>
  </si>
  <si>
    <t xml:space="preserve">10 duplicate event_ids; case/space issues (DQ-022..024)</t>
  </si>
  <si>
    <t xml:space="preserve">Missing-cell share (formula)</t>
  </si>
  <si>
    <t xml:space="preserve">Status / category distributions - T01 Users_1000_Clean (counts; share = formula)</t>
  </si>
  <si>
    <t xml:space="preserve">Value</t>
  </si>
  <si>
    <t xml:space="preserve">Count</t>
  </si>
  <si>
    <t xml:space="preserve">Share</t>
  </si>
  <si>
    <t xml:space="preserve">Inactive</t>
  </si>
  <si>
    <t xml:space="preserve">Pending Verification</t>
  </si>
  <si>
    <t xml:space="preserve">Pending</t>
  </si>
  <si>
    <t xml:space="preserve">Started</t>
  </si>
  <si>
    <t xml:space="preserve">Not Started</t>
  </si>
  <si>
    <t xml:space="preserve">Direct</t>
  </si>
  <si>
    <t xml:space="preserve">Social Media</t>
  </si>
  <si>
    <t xml:space="preserve">WhatsApp</t>
  </si>
  <si>
    <t xml:space="preserve">Other</t>
  </si>
  <si>
    <t xml:space="preserve">Telegram</t>
  </si>
  <si>
    <t xml:space="preserve">Windows</t>
  </si>
  <si>
    <t xml:space="preserve">iOS</t>
  </si>
  <si>
    <t xml:space="preserve">macOS</t>
  </si>
  <si>
    <t xml:space="preserve">Male</t>
  </si>
  <si>
    <t xml:space="preserve">Female</t>
  </si>
  <si>
    <t xml:space="preserve">Web Registration</t>
  </si>
  <si>
    <t xml:space="preserve">J1 - Column-level profile (Users clean and audit)</t>
  </si>
  <si>
    <t xml:space="preserve">Column</t>
  </si>
  <si>
    <t xml:space="preserve">Stored Type</t>
  </si>
  <si>
    <t xml:space="preserve">Non-null</t>
  </si>
  <si>
    <t xml:space="preserve">Null</t>
  </si>
  <si>
    <t xml:space="preserve">Min</t>
  </si>
  <si>
    <t xml:space="preserve">Max</t>
  </si>
  <si>
    <t xml:space="preserve">Top values (categorical)</t>
  </si>
  <si>
    <t xml:space="preserve">str</t>
  </si>
  <si>
    <t xml:space="preserve">int64</t>
  </si>
  <si>
    <t xml:space="preserve">18</t>
  </si>
  <si>
    <t xml:space="preserve">38</t>
  </si>
  <si>
    <t xml:space="preserve">32: 64; 22: 60; 23: 57; 20: 56</t>
  </si>
  <si>
    <t xml:space="preserve">Male: 343; Female: 331; Prefer not to say: 326</t>
  </si>
  <si>
    <t xml:space="preserve">Kerala: 129; Uttar Pradesh: 122; Bihar: 92; Odisha: 83</t>
  </si>
  <si>
    <t xml:space="preserve">Kochi: 129; Bhubaneswar: 83; Hyderabad: 63; Gaya: 49</t>
  </si>
  <si>
    <t xml:space="preserve">datetime64[us]</t>
  </si>
  <si>
    <t xml:space="preserve">2026-04-01 02:10:00</t>
  </si>
  <si>
    <t xml:space="preserve">2026-09-15 19:47:00</t>
  </si>
  <si>
    <t xml:space="preserve">Organic Search: 244; Direct: 217; Social Media: 160; Referral: 119</t>
  </si>
  <si>
    <t xml:space="preserve">Friend/Family: 119</t>
  </si>
  <si>
    <t xml:space="preserve">Android: 659; Windows: 155; iOS: 140; macOS: 46</t>
  </si>
  <si>
    <t xml:space="preserve">Web: 1000</t>
  </si>
  <si>
    <t xml:space="preserve">Active: 568; Inactive: 283; Suspended: 77; Pending Verification: 72</t>
  </si>
  <si>
    <t xml:space="preserve">Verified: 855; Pending: 145</t>
  </si>
  <si>
    <t xml:space="preserve">Completed: 722; Started: 146; Not Started: 132</t>
  </si>
  <si>
    <t xml:space="preserve">2026-04-15 02:51:00</t>
  </si>
  <si>
    <t xml:space="preserve">2026-09-17 10:08:00</t>
  </si>
  <si>
    <t xml:space="preserve">0</t>
  </si>
  <si>
    <t xml:space="preserve">81</t>
  </si>
  <si>
    <t xml:space="preserve">32</t>
  </si>
  <si>
    <t xml:space="preserve">0: 121; 6: 74; 4: 68; 7: 67</t>
  </si>
  <si>
    <t xml:space="preserve">5</t>
  </si>
  <si>
    <t xml:space="preserve">1156</t>
  </si>
  <si>
    <t xml:space="preserve">float64</t>
  </si>
  <si>
    <t xml:space="preserve">-0.8</t>
  </si>
  <si>
    <t xml:space="preserve">166.9</t>
  </si>
  <si>
    <t xml:space="preserve">No: 922; Yes: 78</t>
  </si>
  <si>
    <t xml:space="preserve">No: 675; Yes: 325</t>
  </si>
  <si>
    <t xml:space="preserve">Accepted: 923; Pending: 77</t>
  </si>
  <si>
    <t xml:space="preserve">No: 558; Yes: 442</t>
  </si>
  <si>
    <t xml:space="preserve">Web Registration: 661; Google Sign-In: 339</t>
  </si>
  <si>
    <t xml:space="preserve">India: 1000</t>
  </si>
  <si>
    <t xml:space="preserve">18.0</t>
  </si>
  <si>
    <t xml:space="preserve">38.0</t>
  </si>
  <si>
    <t xml:space="preserve">32: 65; 22: 60; 23: 57; 20: 56</t>
  </si>
  <si>
    <t xml:space="preserve">Male: 345; Female: 332; Prefer not to say: 330</t>
  </si>
  <si>
    <t xml:space="preserve">Kerala: 129; Uttar Pradesh: 124; Bihar: 93; Odisha: 83</t>
  </si>
  <si>
    <t xml:space="preserve">Kochi: 129; Bhubaneswar: 82; Hyderabad: 63; Gaya: 49</t>
  </si>
  <si>
    <t xml:space="preserve">Organic Search: 245; Direct: 216; Social Media: 160; Referral: 123</t>
  </si>
  <si>
    <t xml:space="preserve">Friend/Family: 123</t>
  </si>
  <si>
    <t xml:space="preserve">Android: 662; Windows: 158; iOS: 141; macOS: 46</t>
  </si>
  <si>
    <t xml:space="preserve">Web: 1008</t>
  </si>
  <si>
    <t xml:space="preserve">Active: 571; Inactive: 288; Suspended: 77; Pending Verification: 72</t>
  </si>
  <si>
    <t xml:space="preserve">Verified: 862; Pending: 145</t>
  </si>
  <si>
    <t xml:space="preserve">Completed: 728; Started: 146; Not Started: 133</t>
  </si>
  <si>
    <t xml:space="preserve">0: 122; 6: 75; 7: 68; 4: 68</t>
  </si>
  <si>
    <t xml:space="preserve">No: 930; Yes: 78</t>
  </si>
  <si>
    <t xml:space="preserve">No: 680; Yes: 328</t>
  </si>
  <si>
    <t xml:space="preserve">Accepted: 930; Pending: 78</t>
  </si>
  <si>
    <t xml:space="preserve">No: 563; Yes: 445</t>
  </si>
  <si>
    <t xml:space="preserve">Web Registration: 666; Google Sign-In: 342</t>
  </si>
  <si>
    <t xml:space="preserve">India: 1008</t>
  </si>
  <si>
    <t xml:space="preserve">data_environment</t>
  </si>
  <si>
    <t xml:space="preserve">SIMULATED — NOT ACTUAL VELOOP DATA: 1008</t>
  </si>
  <si>
    <t xml:space="preserve">J2 - Relationship tests</t>
  </si>
  <si>
    <t xml:space="preserve">Test</t>
  </si>
  <si>
    <t xml:space="preserve">Result</t>
  </si>
  <si>
    <t xml:space="preserve">Evidence</t>
  </si>
  <si>
    <t xml:space="preserve">Note</t>
  </si>
  <si>
    <t xml:space="preserve">T01 Users.user_id unique and non-null</t>
  </si>
  <si>
    <t xml:space="preserve">Pass</t>
  </si>
  <si>
    <t xml:space="preserve">1,000 unique of 1,000 rows; 0 nulls</t>
  </si>
  <si>
    <t xml:space="preserve">Users_1000_Clean</t>
  </si>
  <si>
    <t xml:space="preserve">T01 Users.email unique</t>
  </si>
  <si>
    <t xml:space="preserve">1,000 unique</t>
  </si>
  <si>
    <t xml:space="preserve">T01 Users.referral_code unique</t>
  </si>
  <si>
    <t xml:space="preserve">1,000 unique; format VL+6 digits for all</t>
  </si>
  <si>
    <t xml:space="preserve">T01 Users.user_id -&gt; Task Activity.user_id</t>
  </si>
  <si>
    <t xml:space="preserve">Not testable</t>
  </si>
  <si>
    <t xml:space="preserve">Task Activity sheet not supplied in Task 01 file (S005, A003)</t>
  </si>
  <si>
    <t xml:space="preserve">T01 Users.user_id -&gt; Rewards.user_id</t>
  </si>
  <si>
    <t xml:space="preserve">Rewards sheet not supplied</t>
  </si>
  <si>
    <t xml:space="preserve">T01 Users.user_id -&gt; Wallet.user_id</t>
  </si>
  <si>
    <t xml:space="preserve">Wallet sheet not supplied</t>
  </si>
  <si>
    <t xml:space="preserve">T01 Users.user_id -&gt; Withdrawals.user_id</t>
  </si>
  <si>
    <t xml:space="preserve">Withdrawals sheet not supplied</t>
  </si>
  <si>
    <t xml:space="preserve">T01 Users.user_id -&gt; Referrals</t>
  </si>
  <si>
    <t xml:space="preserve">Referrals sheet not supplied; Users holds only a code and "Friend/Family" label (DQ-021)</t>
  </si>
  <si>
    <t xml:space="preserve">T01 Users_Messy_Audit.user_id -&gt; Users_1000_Clean.user_id</t>
  </si>
  <si>
    <t xml:space="preserve">All 1,000 audit IDs exist in clean; 0 audit IDs missing from clean; 8 repeated rows</t>
  </si>
  <si>
    <t xml:space="preserve">SUP Users -&gt; Sessions.user_id</t>
  </si>
  <si>
    <t xml:space="preserve">0 orphan sessions of 7,913</t>
  </si>
  <si>
    <t xml:space="preserve">SUP Users -&gt; Feature Events.user_id</t>
  </si>
  <si>
    <t xml:space="preserve">0 orphan events of 35,704</t>
  </si>
  <si>
    <t xml:space="preserve">SUP Users -&gt; Task Activity.user_id</t>
  </si>
  <si>
    <t xml:space="preserve">0 orphan attempts of 9,846</t>
  </si>
  <si>
    <t xml:space="preserve">SUP Users -&gt; Daily Activity.user_id</t>
  </si>
  <si>
    <t xml:space="preserve">0 orphan rows</t>
  </si>
  <si>
    <t xml:space="preserve">SUP Users -&gt; Milestones.user_id</t>
  </si>
  <si>
    <t xml:space="preserve">SUP Sessions.session_id -&gt; Events / Tasks</t>
  </si>
  <si>
    <t xml:space="preserve">0 orphan session references</t>
  </si>
  <si>
    <t xml:space="preserve">SUP Users without any session or task</t>
  </si>
  <si>
    <t xml:space="preserve">Observation</t>
  </si>
  <si>
    <t xml:space="preserve">16 of 1,000 users have no sessions and no tasks</t>
  </si>
  <si>
    <t xml:space="preserve">T01 Users vs SUP Users on user_id</t>
  </si>
  <si>
    <t xml:space="preserve">FAIL - do not join</t>
  </si>
  <si>
    <t xml:space="preserve">1000 IDs overlap but 0 emails, 0 names, 0 registration times and 0 referral codes match; 429 statuses match (chance level). The files describe different people (DQ-014)</t>
  </si>
  <si>
    <t xml:space="preserve">J3 - Can the KPIs actually be calculated from the supplied structure? (all results SIMULATED)</t>
  </si>
  <si>
    <t xml:space="preserve">KPI</t>
  </si>
  <si>
    <t xml:space="preserve">Calculable?</t>
  </si>
  <si>
    <t xml:space="preserve">Result or Reason (simulated wording)</t>
  </si>
  <si>
    <t xml:space="preserve">Additional Data Required</t>
  </si>
  <si>
    <t xml:space="preserve">K-U01 New registrations</t>
  </si>
  <si>
    <t xml:space="preserve">In the simulated dataset (T01 clean), 1,000 users registered between 01 Apr and 15 Sep 2026; by month: 2026-04: 174, 2026-05: 179, 2026-06: 166, 2026-07: 198, 2026-08: 192, 2026-09: 91</t>
  </si>
  <si>
    <t xml:space="preserve">K-U02 Registrations by source</t>
  </si>
  <si>
    <t xml:space="preserve">In the simulated dataset (T01), source shares: Organic Search 24.4%, Direct 21.7%, Social Media 16.0%, Referral 11.9%, WhatsApp 10.3%, Other 10.2%, Telegram 5.5%</t>
  </si>
  <si>
    <t xml:space="preserve">Source taxonomy to be agreed</t>
  </si>
  <si>
    <t xml:space="preserve">K-U05 Email verification rate</t>
  </si>
  <si>
    <t xml:space="preserve">In the simulated dataset (T01), 855 of 1,000 (85.5%) have Verified status</t>
  </si>
  <si>
    <t xml:space="preserve">Verification timestamp</t>
  </si>
  <si>
    <t xml:space="preserve">K-U07 Onboarding completion rate</t>
  </si>
  <si>
    <t xml:space="preserve">In the simulated dataset (T01), 722 of 1,000 (72.2%) Completed</t>
  </si>
  <si>
    <t xml:space="preserve">Step-level milestones</t>
  </si>
  <si>
    <t xml:space="preserve">K-U08 Suspended account share</t>
  </si>
  <si>
    <t xml:space="preserve">In the simulated dataset (T01), 77 of 1,000 (7.7%) Suspended</t>
  </si>
  <si>
    <t xml:space="preserve">Status history with timestamps</t>
  </si>
  <si>
    <t xml:space="preserve">K-U10 Registrations by device</t>
  </si>
  <si>
    <t xml:space="preserve">In the simulated dataset (T01), Android 65.9%, Windows 15.5%, iOS 14.0%, macOS 4.6%; platform = Web for all</t>
  </si>
  <si>
    <t xml:space="preserve">More than one platform value</t>
  </si>
  <si>
    <t xml:space="preserve">K-U11 Consent acceptance rate</t>
  </si>
  <si>
    <t xml:space="preserve">In the simulated dataset (T01), 923 of 1,000 (92.3%) Accepted</t>
  </si>
  <si>
    <t xml:space="preserve">Consent timestamp</t>
  </si>
  <si>
    <t xml:space="preserve">K-U03/K-U12 Active users (supplied flags)</t>
  </si>
  <si>
    <t xml:space="preserve">Partly</t>
  </si>
  <si>
    <t xml:space="preserve">In the simulated dataset (T01), supplied flags give 78 (7.8%) active 7d and 325 (32.5%) active 30d. Flags are NOT reproducible for 8 and 9 users (DQ-012); an event stream is required to define DAU properly</t>
  </si>
  <si>
    <t xml:space="preserve">Event stream and a documented activity rule</t>
  </si>
  <si>
    <t xml:space="preserve">K-U03 DAU (event stream)</t>
  </si>
  <si>
    <t xml:space="preserve">Yes - SUP only</t>
  </si>
  <si>
    <t xml:space="preserve">In the supplementary simulated events, average distinct users per calendar day = 40.7 (min 1, max 164), counting any event as qualifying (A017 not resolved)</t>
  </si>
  <si>
    <t xml:space="preserve">Qualifying-event list</t>
  </si>
  <si>
    <t xml:space="preserve">K-E01/K-E03 Task starts and completion rate</t>
  </si>
  <si>
    <t xml:space="preserve">In the supplementary simulated data, 9,846 attempts; 5,627 Completed (57.2% of all, 61.2% excluding 648 Pending)</t>
  </si>
  <si>
    <t xml:space="preserve">Verified task_started/task_completed events</t>
  </si>
  <si>
    <t xml:space="preserve">K-E05 Failure and abandonment rate</t>
  </si>
  <si>
    <t xml:space="preserve">In the supplementary simulated data, 3,571 of 9,198 non-pending attempts Failed or Abandoned (38.8%)</t>
  </si>
  <si>
    <t xml:space="preserve">Approved failure categories</t>
  </si>
  <si>
    <t xml:space="preserve">K-R05 Credit reconciliation</t>
  </si>
  <si>
    <t xml:space="preserve">Partly - SUP only</t>
  </si>
  <si>
    <t xml:space="preserve">In the supplementary simulated data every Completed attempt (5,627) has reward_status Credited and no non-completed attempt is Credited. This does NOT prove wallet credits exist</t>
  </si>
  <si>
    <t xml:space="preserve">Rewards and Wallet tables</t>
  </si>
  <si>
    <t xml:space="preserve">K-F01 Referrals created</t>
  </si>
  <si>
    <t xml:space="preserve">Supplementary events include 871 referral_created events but no referrer/referred link; conversion KPIs K-F02..F05 cannot be computed</t>
  </si>
  <si>
    <t xml:space="preserve">Referrals table (DQ-021)</t>
  </si>
  <si>
    <t xml:space="preserve">K-W01..W05 Wallet KPIs</t>
  </si>
  <si>
    <t xml:space="preserve">Only wallet_viewed events exist in supplementary data (2,172); no ledger</t>
  </si>
  <si>
    <t xml:space="preserve">K-D01..D09 Withdrawal KPIs</t>
  </si>
  <si>
    <t xml:space="preserve">No withdrawal data in either file</t>
  </si>
  <si>
    <t xml:space="preserve">Withdrawals table with lifecycle timestamps</t>
  </si>
  <si>
    <t xml:space="preserve">K-R01..R04 Reward KPIs</t>
  </si>
  <si>
    <t xml:space="preserve">No reward-level table in either file</t>
  </si>
  <si>
    <t xml:space="preserve">Rewards table</t>
  </si>
  <si>
    <t xml:space="preserve">K-S01..S03 Support KPIs</t>
  </si>
  <si>
    <t xml:space="preserve">No support data</t>
  </si>
  <si>
    <t xml:space="preserve">Support source (A023)</t>
  </si>
  <si>
    <t xml:space="preserve">K - Data Quality Report (26 issues)</t>
  </si>
  <si>
    <t xml:space="preserve">Issue ID</t>
  </si>
  <si>
    <t xml:space="preserve">Issue Type</t>
  </si>
  <si>
    <t xml:space="preserve">Records Affected</t>
  </si>
  <si>
    <t xml:space="preserve">Severity</t>
  </si>
  <si>
    <t xml:space="preserve">Detection Logic</t>
  </si>
  <si>
    <t xml:space="preserve">Likely Cause</t>
  </si>
  <si>
    <t xml:space="preserve">Correction</t>
  </si>
  <si>
    <t xml:space="preserve">Prevention</t>
  </si>
  <si>
    <t xml:space="preserve">DQ-001</t>
  </si>
  <si>
    <t xml:space="preserve">Users_Messy_Audit</t>
  </si>
  <si>
    <t xml:space="preserve">user_id (also email, referral_code)</t>
  </si>
  <si>
    <t xml:space="preserve">Duplicate records</t>
  </si>
  <si>
    <t xml:space="preserve">8 rows (8 user_ids appear twice; exact duplicates)</t>
  </si>
  <si>
    <t xml:space="preserve">COUNT(*) per user_id &gt; 1; rows identical across all columns</t>
  </si>
  <si>
    <t xml:space="preserve">Double submit or merge/append error</t>
  </si>
  <si>
    <t xml:space="preserve">Keep first row; log removal</t>
  </si>
  <si>
    <t xml:space="preserve">Unique constraint on user_id; idempotent registration</t>
  </si>
  <si>
    <t xml:space="preserve">Engineering / Data</t>
  </si>
  <si>
    <t xml:space="preserve">DQ-002</t>
  </si>
  <si>
    <t xml:space="preserve">Missing value</t>
  </si>
  <si>
    <t xml:space="preserve">1 (VLUSR000001)</t>
  </si>
  <si>
    <t xml:space="preserve">city IS NULL</t>
  </si>
  <si>
    <t xml:space="preserve">Optional field left blank or dropped</t>
  </si>
  <si>
    <t xml:space="preserve">Impute from clean source only if verified, else leave Unknown</t>
  </si>
  <si>
    <t xml:space="preserve">Required-field check at ingestion</t>
  </si>
  <si>
    <t xml:space="preserve">DQ-003</t>
  </si>
  <si>
    <t xml:space="preserve">1 (VLUSR000002)</t>
  </si>
  <si>
    <t xml:space="preserve">IS NULL</t>
  </si>
  <si>
    <t xml:space="preserve">Tracking parameter lost</t>
  </si>
  <si>
    <t xml:space="preserve">Set "Unknown" (not guessed)</t>
  </si>
  <si>
    <t xml:space="preserve">Default value at capture</t>
  </si>
  <si>
    <t xml:space="preserve">DQ-004</t>
  </si>
  <si>
    <t xml:space="preserve">1 (VLUSR000003)</t>
  </si>
  <si>
    <t xml:space="preserve">User-agent not parsed</t>
  </si>
  <si>
    <t xml:space="preserve">Set "Unknown"</t>
  </si>
  <si>
    <t xml:space="preserve">Fallback parsing</t>
  </si>
  <si>
    <t xml:space="preserve">DQ-005</t>
  </si>
  <si>
    <t xml:space="preserve">1 (VLUSR000004)</t>
  </si>
  <si>
    <t xml:space="preserve">Status not initialised</t>
  </si>
  <si>
    <t xml:space="preserve">Default to Not Started on creation</t>
  </si>
  <si>
    <t xml:space="preserve">Default at account creation</t>
  </si>
  <si>
    <t xml:space="preserve">DQ-006</t>
  </si>
  <si>
    <t xml:space="preserve">1 (VLUSR000006)</t>
  </si>
  <si>
    <t xml:space="preserve">Default Pending</t>
  </si>
  <si>
    <t xml:space="preserve">DQ-007</t>
  </si>
  <si>
    <t xml:space="preserve">1 (VLUSR000007)</t>
  </si>
  <si>
    <t xml:space="preserve">Optional field</t>
  </si>
  <si>
    <t xml:space="preserve">Leave null</t>
  </si>
  <si>
    <t xml:space="preserve">None required (optional)</t>
  </si>
  <si>
    <t xml:space="preserve">DQ-008</t>
  </si>
  <si>
    <t xml:space="preserve">1 (VLUSR000008)</t>
  </si>
  <si>
    <t xml:space="preserve">DQ-009</t>
  </si>
  <si>
    <t xml:space="preserve">Missing timestamp</t>
  </si>
  <si>
    <t xml:space="preserve">1 (VLUSR000023)</t>
  </si>
  <si>
    <t xml:space="preserve">Write failure</t>
  </si>
  <si>
    <t xml:space="preserve">Quarantine row; recover from source system</t>
  </si>
  <si>
    <t xml:space="preserve">Not-null constraint</t>
  </si>
  <si>
    <t xml:space="preserve">DQ-010</t>
  </si>
  <si>
    <t xml:space="preserve">Malformed date</t>
  </si>
  <si>
    <t xml:space="preserve">1 (VLUSR000024: "2026-14-02 12:00")</t>
  </si>
  <si>
    <t xml:space="preserve">Parse with strict ISO-8601; month 14 is invalid (likely day/month swap)</t>
  </si>
  <si>
    <t xml:space="preserve">Locale/format swap</t>
  </si>
  <si>
    <t xml:space="preserve">Quarantine; do not auto-swap without confirmation</t>
  </si>
  <si>
    <t xml:space="preserve">Enforce ISO-8601 UTC at collection</t>
  </si>
  <si>
    <t xml:space="preserve">DQ-011</t>
  </si>
  <si>
    <t xml:space="preserve">Invalid derived value (negative)</t>
  </si>
  <si>
    <t xml:space="preserve">4 (VLUSR000128, 000684, 000686, 000703)</t>
  </si>
  <si>
    <t xml:space="preserve">days_since_registration &lt; 0</t>
  </si>
  <si>
    <t xml:space="preserve">Reference time earlier than registration time</t>
  </si>
  <si>
    <t xml:space="preserve">Recompute with documented reference timestamp</t>
  </si>
  <si>
    <t xml:space="preserve">Document reference time; derive in transformation not source</t>
  </si>
  <si>
    <t xml:space="preserve">Data owner</t>
  </si>
  <si>
    <t xml:space="preserve">DQ-012</t>
  </si>
  <si>
    <t xml:space="preserve">is_active_7d / is_active_30d</t>
  </si>
  <si>
    <t xml:space="preserve">Derived flag not reproducible</t>
  </si>
  <si>
    <t xml:space="preserve">8 (7d) and 9 (30d) users differ from login-based rule at reference 15 Sep 2026</t>
  </si>
  <si>
    <t xml:space="preserve">Recompute from last_login_datetime and compare</t>
  </si>
  <si>
    <t xml:space="preserve">Undocumented rule or reference time</t>
  </si>
  <si>
    <t xml:space="preserve">Publish definition (A017)</t>
  </si>
  <si>
    <t xml:space="preserve">Single governed definition</t>
  </si>
  <si>
    <t xml:space="preserve">Analytics</t>
  </si>
  <si>
    <t xml:space="preserve">DQ-013</t>
  </si>
  <si>
    <t xml:space="preserve">Date outside stated period</t>
  </si>
  <si>
    <t xml:space="preserve">4 logins after 15 Sep 2026 (up to 17 Sep): VLUSR000128, 000665, 000686, 000703</t>
  </si>
  <si>
    <t xml:space="preserve">last_login &gt; period end</t>
  </si>
  <si>
    <t xml:space="preserve">Period label vs generation window</t>
  </si>
  <si>
    <t xml:space="preserve">Confirm period end</t>
  </si>
  <si>
    <t xml:space="preserve">Validate against load date</t>
  </si>
  <si>
    <t xml:space="preserve">DQ-014</t>
  </si>
  <si>
    <t xml:space="preserve">Users (Data_01) vs Users (Task 02 file)</t>
  </si>
  <si>
    <t xml:space="preserve">Identifier collision across files</t>
  </si>
  <si>
    <t xml:space="preserve">1,000 shared IDs; 0 matching emails/names/registration times</t>
  </si>
  <si>
    <t xml:space="preserve">Join on user_id and compare descriptive attributes</t>
  </si>
  <si>
    <t xml:space="preserve">Independent generators reusing the ID pattern</t>
  </si>
  <si>
    <t xml:space="preserve">Never join the files; label each by source</t>
  </si>
  <si>
    <t xml:space="preserve">Use globally unique IDs and dataset prefixes</t>
  </si>
  <si>
    <t xml:space="preserve">Open</t>
  </si>
  <si>
    <t xml:space="preserve">DQ-015</t>
  </si>
  <si>
    <t xml:space="preserve">last_login_datetime vs lifetime_sessions</t>
  </si>
  <si>
    <t xml:space="preserve">Conflicting state</t>
  </si>
  <si>
    <t xml:space="preserve">72 users with sessions &gt; 0 and no login (all Pending Verification)</t>
  </si>
  <si>
    <t xml:space="preserve">last_login IS NULL AND lifetime_sessions &gt; 0</t>
  </si>
  <si>
    <t xml:space="preserve">Sessions counted before verification or login not logged</t>
  </si>
  <si>
    <t xml:space="preserve">Confirm rule (A011/A019)</t>
  </si>
  <si>
    <t xml:space="preserve">Define whether unverified sessions count</t>
  </si>
  <si>
    <t xml:space="preserve">DQ-016</t>
  </si>
  <si>
    <t xml:space="preserve">onboarding_status vs lifetime_sessions</t>
  </si>
  <si>
    <t xml:space="preserve">Impossible/unclear state</t>
  </si>
  <si>
    <t xml:space="preserve">23 users Completed onboarding with 0 sessions</t>
  </si>
  <si>
    <t xml:space="preserve">onboarding_status = Completed AND lifetime_sessions = 0</t>
  </si>
  <si>
    <t xml:space="preserve">Session not counted for onboarding</t>
  </si>
  <si>
    <t xml:space="preserve">Clarify (A028)</t>
  </si>
  <si>
    <t xml:space="preserve">State-transition validation</t>
  </si>
  <si>
    <t xml:space="preserve">DQ-017</t>
  </si>
  <si>
    <t xml:space="preserve">account_status vs activity flags</t>
  </si>
  <si>
    <t xml:space="preserve">Unexplained activity after suspension?</t>
  </si>
  <si>
    <t xml:space="preserve">9 Suspended users flagged active 7d; 25 active 30d</t>
  </si>
  <si>
    <t xml:space="preserve">account_status = Suspended AND flag = Yes</t>
  </si>
  <si>
    <t xml:space="preserve">No suspension timestamp</t>
  </si>
  <si>
    <t xml:space="preserve">Add status history (A011)</t>
  </si>
  <si>
    <t xml:space="preserve">Account Status History table</t>
  </si>
  <si>
    <t xml:space="preserve">DQ-018</t>
  </si>
  <si>
    <t xml:space="preserve">consent_status vs marketing_opt_in</t>
  </si>
  <si>
    <t xml:space="preserve">Rule conflict</t>
  </si>
  <si>
    <t xml:space="preserve">34 users consent Pending but marketing_opt_in = Yes</t>
  </si>
  <si>
    <t xml:space="preserve">consent_status = Pending AND marketing_opt_in = Yes</t>
  </si>
  <si>
    <t xml:space="preserve">Independent fields</t>
  </si>
  <si>
    <t xml:space="preserve">Treat as not opted in until consent Accepted</t>
  </si>
  <si>
    <t xml:space="preserve">Validation rule at capture</t>
  </si>
  <si>
    <t xml:space="preserve">DQ-019</t>
  </si>
  <si>
    <t xml:space="preserve">email_verification_status vs account_created_via</t>
  </si>
  <si>
    <t xml:space="preserve">Inconsistency to verify</t>
  </si>
  <si>
    <t xml:space="preserve">40 Google Sign-In users with Pending verification</t>
  </si>
  <si>
    <t xml:space="preserve">Cross-tab</t>
  </si>
  <si>
    <t xml:space="preserve">Possibly legitimate; unknown</t>
  </si>
  <si>
    <t xml:space="preserve">Confirm business rule</t>
  </si>
  <si>
    <t xml:space="preserve">Document rule</t>
  </si>
  <si>
    <t xml:space="preserve">DQ-020</t>
  </si>
  <si>
    <t xml:space="preserve">Non-unique attribute</t>
  </si>
  <si>
    <t xml:space="preserve">596 repeated names</t>
  </si>
  <si>
    <t xml:space="preserve">duplicated(full_name)</t>
  </si>
  <si>
    <t xml:space="preserve">Common names</t>
  </si>
  <si>
    <t xml:space="preserve">Never use as key; exclude from analytics layer</t>
  </si>
  <si>
    <t xml:space="preserve">Data minimisation</t>
  </si>
  <si>
    <t xml:space="preserve">DQ-021</t>
  </si>
  <si>
    <t xml:space="preserve">Design gap</t>
  </si>
  <si>
    <t xml:space="preserve">Only value is "Friend/Family" for 119 referral users; no referrer user_id</t>
  </si>
  <si>
    <t xml:space="preserve">Distinct values and column list</t>
  </si>
  <si>
    <t xml:space="preserve">Attribute not designed for attribution</t>
  </si>
  <si>
    <t xml:space="preserve">Add referrals table with referrer and referred IDs</t>
  </si>
  <si>
    <t xml:space="preserve">Event referral_registered</t>
  </si>
  <si>
    <t xml:space="preserve">DQ-022</t>
  </si>
  <si>
    <t xml:space="preserve">10_Event_Data_Quality_Audit (Task 02 file)</t>
  </si>
  <si>
    <t xml:space="preserve">Duplicate events</t>
  </si>
  <si>
    <t xml:space="preserve">10 duplicated event rows</t>
  </si>
  <si>
    <t xml:space="preserve">COUNT(*) per event_id &gt; 1</t>
  </si>
  <si>
    <t xml:space="preserve">Retry/replay</t>
  </si>
  <si>
    <t xml:space="preserve">Drop exact duplicates</t>
  </si>
  <si>
    <t xml:space="preserve">Idempotency key</t>
  </si>
  <si>
    <t xml:space="preserve">DQ-023</t>
  </si>
  <si>
    <t xml:space="preserve">10_Event_Data_Quality_Audit</t>
  </si>
  <si>
    <t xml:space="preserve">Trailing space and capitalization</t>
  </si>
  <si>
    <t xml:space="preserve">4 rows ("success ")</t>
  </si>
  <si>
    <t xml:space="preserve">status != TRIM(status) or not in approved list</t>
  </si>
  <si>
    <t xml:space="preserve">Manual entry</t>
  </si>
  <si>
    <t xml:space="preserve">TRIM and normalise to "Success"</t>
  </si>
  <si>
    <t xml:space="preserve">Enum validation</t>
  </si>
  <si>
    <t xml:space="preserve">DQ-024</t>
  </si>
  <si>
    <t xml:space="preserve">feature_name</t>
  </si>
  <si>
    <t xml:space="preserve">Inconsistent naming/capitalization</t>
  </si>
  <si>
    <t xml:space="preserve">5 rows (missions, leaderboard, wallet, daily reward, watch ads)</t>
  </si>
  <si>
    <t xml:space="preserve">Value not in canonical list</t>
  </si>
  <si>
    <t xml:space="preserve">Free-text entry</t>
  </si>
  <si>
    <t xml:space="preserve">Map to canonical feature</t>
  </si>
  <si>
    <t xml:space="preserve">DQ-025</t>
  </si>
  <si>
    <t xml:space="preserve">02_Sessions vs 03_Feature_Events (Task 02 file)</t>
  </si>
  <si>
    <t xml:space="preserve">events_in_session</t>
  </si>
  <si>
    <t xml:space="preserve">Aggregate not matching detail</t>
  </si>
  <si>
    <t xml:space="preserve">7,537 of 7,913 sessions differ from event row count</t>
  </si>
  <si>
    <t xml:space="preserve">COUNT(events) per session vs events_in_session</t>
  </si>
  <si>
    <t xml:space="preserve">Summary computed from a different event set</t>
  </si>
  <si>
    <t xml:space="preserve">Recompute from events</t>
  </si>
  <si>
    <t xml:space="preserve">Derive aggregates in transformation</t>
  </si>
  <si>
    <t xml:space="preserve">DQ-026</t>
  </si>
  <si>
    <t xml:space="preserve">05_Task_Activity (Task 02 file)</t>
  </si>
  <si>
    <t xml:space="preserve">user_id vs account_status</t>
  </si>
  <si>
    <t xml:space="preserve">Business-rule question</t>
  </si>
  <si>
    <t xml:space="preserve">855 attempts by Pending Verification users; 601 by Suspended users</t>
  </si>
  <si>
    <t xml:space="preserve">Join Task Activity to Users on status</t>
  </si>
  <si>
    <t xml:space="preserve">Current status only; timing unknown</t>
  </si>
  <si>
    <t xml:space="preserve">Confirm eligibility rules (A019, A020)</t>
  </si>
  <si>
    <t xml:space="preserve">Status history + eligibility check</t>
  </si>
  <si>
    <t xml:space="preserve">Checks performed with no issue found</t>
  </si>
  <si>
    <t xml:space="preserve">Missing user_id</t>
  </si>
  <si>
    <t xml:space="preserve">0 records (Users_Messy_Audit)</t>
  </si>
  <si>
    <t xml:space="preserve">Invalid status values (Users)</t>
  </si>
  <si>
    <t xml:space="preserve">0 values outside controlled lists</t>
  </si>
  <si>
    <t xml:space="preserve">Trailing spaces (Users)</t>
  </si>
  <si>
    <t xml:space="preserve">0 fields</t>
  </si>
  <si>
    <t xml:space="preserve">Inconsistent capitalization (Users)</t>
  </si>
  <si>
    <t xml:space="preserve">Invalid numeric values / negatives (Users source fields)</t>
  </si>
  <si>
    <t xml:space="preserve">0 (only the derived field in DQ-011)</t>
  </si>
  <si>
    <t xml:space="preserve">Orphan records (Task 02 child tables)</t>
  </si>
  <si>
    <t xml:space="preserve">0 in sessions, events, tasks, daily, milestones</t>
  </si>
  <si>
    <t xml:space="preserve">Impossible task transitions (Task 02)</t>
  </si>
  <si>
    <t xml:space="preserve">0 (completed without completion time; credited but not completed; completion before start)</t>
  </si>
  <si>
    <t xml:space="preserve">Invalid emails / user_id / referral_code format (Users)</t>
  </si>
  <si>
    <t xml:space="preserve">L - Data Quality Control Framework (22 rules by pipeline layer)</t>
  </si>
  <si>
    <t xml:space="preserve">Rule ID</t>
  </si>
  <si>
    <t xml:space="preserve">Quality Rule</t>
  </si>
  <si>
    <t xml:space="preserve">Layer</t>
  </si>
  <si>
    <t xml:space="preserve">Check</t>
  </si>
  <si>
    <t xml:space="preserve">Action on Failure</t>
  </si>
  <si>
    <t xml:space="preserve">Addresses</t>
  </si>
  <si>
    <t xml:space="preserve">QC-01</t>
  </si>
  <si>
    <t xml:space="preserve">Required fields present</t>
  </si>
  <si>
    <t xml:space="preserve">Application</t>
  </si>
  <si>
    <t xml:space="preserve">Form/API rejects missing user_id, registration_ts, source</t>
  </si>
  <si>
    <t xml:space="preserve">Reject with error; do not write</t>
  </si>
  <si>
    <t xml:space="preserve">DQ-002..009</t>
  </si>
  <si>
    <t xml:space="preserve">QC-02</t>
  </si>
  <si>
    <t xml:space="preserve">ISO-8601 UTC timestamps</t>
  </si>
  <si>
    <t xml:space="preserve">Data Collection</t>
  </si>
  <si>
    <t xml:space="preserve">Strict parse; reject invalid month/day</t>
  </si>
  <si>
    <t xml:space="preserve">Quarantine event</t>
  </si>
  <si>
    <t xml:space="preserve">QC-03</t>
  </si>
  <si>
    <t xml:space="preserve">Approved status and enum values</t>
  </si>
  <si>
    <t xml:space="preserve">Validate against approved list</t>
  </si>
  <si>
    <t xml:space="preserve">Reject or map to Unknown and alert</t>
  </si>
  <si>
    <t xml:space="preserve">DQ-023, DQ-024</t>
  </si>
  <si>
    <t xml:space="preserve">QC-04</t>
  </si>
  <si>
    <t xml:space="preserve">Unique event_id (idempotency key)</t>
  </si>
  <si>
    <t xml:space="preserve">Reject second event with same ID</t>
  </si>
  <si>
    <t xml:space="preserve">Drop duplicate; count it</t>
  </si>
  <si>
    <t xml:space="preserve">DQ-001, DQ-022</t>
  </si>
  <si>
    <t xml:space="preserve">QC-05</t>
  </si>
  <si>
    <t xml:space="preserve">Unique transaction_id</t>
  </si>
  <si>
    <t xml:space="preserve">Unique constraint on ledger</t>
  </si>
  <si>
    <t xml:space="preserve">Reject write</t>
  </si>
  <si>
    <t xml:space="preserve">QC-06</t>
  </si>
  <si>
    <t xml:space="preserve">Preserve raw data unchanged</t>
  </si>
  <si>
    <t xml:space="preserve">Raw Data</t>
  </si>
  <si>
    <t xml:space="preserve">Append-only; no edits</t>
  </si>
  <si>
    <t xml:space="preserve">Corrections in transformation only</t>
  </si>
  <si>
    <t xml:space="preserve">Data / Engineering</t>
  </si>
  <si>
    <t xml:space="preserve">QC-07</t>
  </si>
  <si>
    <t xml:space="preserve">Schema drift detection</t>
  </si>
  <si>
    <t xml:space="preserve">Compare incoming columns to data dictionary</t>
  </si>
  <si>
    <t xml:space="preserve">Alert; hold load</t>
  </si>
  <si>
    <t xml:space="preserve">Data</t>
  </si>
  <si>
    <t xml:space="preserve">A-change</t>
  </si>
  <si>
    <t xml:space="preserve">QC-08</t>
  </si>
  <si>
    <t xml:space="preserve">Duplicate detection</t>
  </si>
  <si>
    <t xml:space="preserve">Transformation</t>
  </si>
  <si>
    <t xml:space="preserve">Group by key; compare payload</t>
  </si>
  <si>
    <t xml:space="preserve">Keep first; log removed</t>
  </si>
  <si>
    <t xml:space="preserve">QC-09</t>
  </si>
  <si>
    <t xml:space="preserve">Trim and normalise text</t>
  </si>
  <si>
    <t xml:space="preserve">TRIM; map case variants</t>
  </si>
  <si>
    <t xml:space="preserve">Apply mapping; log changes</t>
  </si>
  <si>
    <t xml:space="preserve">QC-10</t>
  </si>
  <si>
    <t xml:space="preserve">Referential integrity</t>
  </si>
  <si>
    <t xml:space="preserve">Every child user_id exists in Users</t>
  </si>
  <si>
    <t xml:space="preserve">Move orphans to quarantine table</t>
  </si>
  <si>
    <t xml:space="preserve">J2</t>
  </si>
  <si>
    <t xml:space="preserve">QC-11</t>
  </si>
  <si>
    <t xml:space="preserve">Valid state transitions</t>
  </si>
  <si>
    <t xml:space="preserve">Withdrawal/reward/task status follows allowed order</t>
  </si>
  <si>
    <t xml:space="preserve">Flag record</t>
  </si>
  <si>
    <t xml:space="preserve">QC-12</t>
  </si>
  <si>
    <t xml:space="preserve">Timestamp order</t>
  </si>
  <si>
    <t xml:space="preserve">requested &lt;= processing &lt;= final; start &gt;= view</t>
  </si>
  <si>
    <t xml:space="preserve">QC-13</t>
  </si>
  <si>
    <t xml:space="preserve">Derived-field recomputation</t>
  </si>
  <si>
    <t xml:space="preserve">Recompute flags from events with documented reference time</t>
  </si>
  <si>
    <t xml:space="preserve">Replace supplied derived values</t>
  </si>
  <si>
    <t xml:space="preserve">DQ-011, DQ-012</t>
  </si>
  <si>
    <t xml:space="preserve">QC-14</t>
  </si>
  <si>
    <t xml:space="preserve">No cross-unit totals</t>
  </si>
  <si>
    <t xml:space="preserve">Analytics Layer</t>
  </si>
  <si>
    <t xml:space="preserve">Amounts aggregated only within unit</t>
  </si>
  <si>
    <t xml:space="preserve">Block metric</t>
  </si>
  <si>
    <t xml:space="preserve">QC-15</t>
  </si>
  <si>
    <t xml:space="preserve">Ledger reconciliation</t>
  </si>
  <si>
    <t xml:space="preserve">Sum(completed credits - debits - reversals) = balance</t>
  </si>
  <si>
    <t xml:space="preserve">Alert Finance</t>
  </si>
  <si>
    <t xml:space="preserve">QC-16</t>
  </si>
  <si>
    <t xml:space="preserve">Reward-activity reconciliation</t>
  </si>
  <si>
    <t xml:space="preserve">Completed attempts with credit vs without</t>
  </si>
  <si>
    <t xml:space="preserve">Report gap</t>
  </si>
  <si>
    <t xml:space="preserve">QC-17</t>
  </si>
  <si>
    <t xml:space="preserve">Consent-marketing rule</t>
  </si>
  <si>
    <t xml:space="preserve">marketing_opt_in = Yes requires consent Accepted</t>
  </si>
  <si>
    <t xml:space="preserve">Treat as No</t>
  </si>
  <si>
    <t xml:space="preserve">Data / Legal</t>
  </si>
  <si>
    <t xml:space="preserve">QC-18</t>
  </si>
  <si>
    <t xml:space="preserve">Dataset labelling</t>
  </si>
  <si>
    <t xml:space="preserve">Every simulated table carries SIMULATED label and no mixing with production</t>
  </si>
  <si>
    <t xml:space="preserve">Block load</t>
  </si>
  <si>
    <t xml:space="preserve">Integrity rules</t>
  </si>
  <si>
    <t xml:space="preserve">QC-19</t>
  </si>
  <si>
    <t xml:space="preserve">Freshness</t>
  </si>
  <si>
    <t xml:space="preserve">Dashboard</t>
  </si>
  <si>
    <t xml:space="preserve">Last successful load within expected window</t>
  </si>
  <si>
    <t xml:space="preserve">Show stale banner</t>
  </si>
  <si>
    <t xml:space="preserve">QC-20</t>
  </si>
  <si>
    <t xml:space="preserve">Row-count anomaly</t>
  </si>
  <si>
    <t xml:space="preserve">Daily count within tolerance of recent median</t>
  </si>
  <si>
    <t xml:space="preserve">Annotate dashboard; alert</t>
  </si>
  <si>
    <t xml:space="preserve">QC-21</t>
  </si>
  <si>
    <t xml:space="preserve">Quality tile</t>
  </si>
  <si>
    <t xml:space="preserve">Display pass rate of QC rules</t>
  </si>
  <si>
    <t xml:space="preserve">Warn viewers</t>
  </si>
  <si>
    <t xml:space="preserve">QC-22</t>
  </si>
  <si>
    <t xml:space="preserve">Suspended/pending account activity report</t>
  </si>
  <si>
    <t xml:space="preserve">Join activity to status history</t>
  </si>
  <si>
    <t xml:space="preserve">Report to Operations</t>
  </si>
  <si>
    <t xml:space="preserve">Data / Operations</t>
  </si>
  <si>
    <t xml:space="preserve">DQ-017, DQ-026</t>
  </si>
  <si>
    <t xml:space="preserve">M - Dashboard Blueprint: visual specifications (44 visuals; wireframes in report)</t>
  </si>
  <si>
    <t xml:space="preserve">Visual ID</t>
  </si>
  <si>
    <t xml:space="preserve">Metric</t>
  </si>
  <si>
    <t xml:space="preserve">Calculation (KPI ref)</t>
  </si>
  <si>
    <t xml:space="preserve">Visualization</t>
  </si>
  <si>
    <t xml:space="preserve">Filters</t>
  </si>
  <si>
    <t xml:space="preserve">Dimensions</t>
  </si>
  <si>
    <t xml:space="preserve">Refresh</t>
  </si>
  <si>
    <t xml:space="preserve">Decision Supported</t>
  </si>
  <si>
    <t xml:space="preserve">D1 Executive Overview</t>
  </si>
  <si>
    <t xml:space="preserve">D1-V01</t>
  </si>
  <si>
    <t xml:space="preserve">KPI tile: New registrations</t>
  </si>
  <si>
    <t xml:space="preserve">KPI tile with change vs prior period</t>
  </si>
  <si>
    <t xml:space="preserve">All filters: date range, acquisition_source, platform</t>
  </si>
  <si>
    <t xml:space="preserve">source, device</t>
  </si>
  <si>
    <t xml:space="preserve">Last 30 days default; 7/30/90 and custom</t>
  </si>
  <si>
    <t xml:space="preserve">Are we adding users?</t>
  </si>
  <si>
    <t xml:space="preserve">Adjust acquisition effort</t>
  </si>
  <si>
    <t xml:space="preserve">D1-V02</t>
  </si>
  <si>
    <t xml:space="preserve">KPI tile: DAU</t>
  </si>
  <si>
    <t xml:space="preserve">KPI tile + sparkline</t>
  </si>
  <si>
    <t xml:space="preserve">How many users act daily?</t>
  </si>
  <si>
    <t xml:space="preserve">Judge product traction</t>
  </si>
  <si>
    <t xml:space="preserve">D1-V03</t>
  </si>
  <si>
    <t xml:space="preserve">KPI tile: Task completion rate</t>
  </si>
  <si>
    <t xml:space="preserve">KPI tile</t>
  </si>
  <si>
    <t xml:space="preserve">Do earning tasks work?</t>
  </si>
  <si>
    <t xml:space="preserve">Prioritise fixes</t>
  </si>
  <si>
    <t xml:space="preserve">D1-V04</t>
  </si>
  <si>
    <t xml:space="preserve">KPI tile: Credited rewards</t>
  </si>
  <si>
    <t xml:space="preserve">KPI tile by unit</t>
  </si>
  <si>
    <t xml:space="preserve">How much value is delivered?</t>
  </si>
  <si>
    <t xml:space="preserve">Reward budget</t>
  </si>
  <si>
    <t xml:space="preserve">D1-V05</t>
  </si>
  <si>
    <t xml:space="preserve">KPI tile: Pending withdrawal queue</t>
  </si>
  <si>
    <t xml:space="preserve">KPI tile with alert colour</t>
  </si>
  <si>
    <t xml:space="preserve">Is payout backlog growing?</t>
  </si>
  <si>
    <t xml:space="preserve">Staffing</t>
  </si>
  <si>
    <t xml:space="preserve">D1-V06</t>
  </si>
  <si>
    <t xml:space="preserve">Trend: DAU and registrations</t>
  </si>
  <si>
    <t xml:space="preserve">K-U01, K-U03</t>
  </si>
  <si>
    <t xml:space="preserve">Users, events</t>
  </si>
  <si>
    <t xml:space="preserve">Dual line chart</t>
  </si>
  <si>
    <t xml:space="preserve">How do growth and activity move together?</t>
  </si>
  <si>
    <t xml:space="preserve">Campaign timing</t>
  </si>
  <si>
    <t xml:space="preserve">D1-V07</t>
  </si>
  <si>
    <t xml:space="preserve">Funnel: view to start to complete to credit</t>
  </si>
  <si>
    <t xml:space="preserve">K-E02, K-E03, K-R05</t>
  </si>
  <si>
    <t xml:space="preserve">Task Activity, Rewards</t>
  </si>
  <si>
    <t xml:space="preserve">Where is value lost?</t>
  </si>
  <si>
    <t xml:space="preserve">Roadmap</t>
  </si>
  <si>
    <t xml:space="preserve">D1-V08</t>
  </si>
  <si>
    <t xml:space="preserve">Bar: Completed tasks by feature</t>
  </si>
  <si>
    <t xml:space="preserve">Horizontal bar</t>
  </si>
  <si>
    <t xml:space="preserve">Which features matter?</t>
  </si>
  <si>
    <t xml:space="preserve">Investment</t>
  </si>
  <si>
    <t xml:space="preserve">D1-V09</t>
  </si>
  <si>
    <t xml:space="preserve">Bar: Withdrawal status mix</t>
  </si>
  <si>
    <t xml:space="preserve">K-D02..D04</t>
  </si>
  <si>
    <t xml:space="preserve">Stacked bar</t>
  </si>
  <si>
    <t xml:space="preserve">Is payout healthy?</t>
  </si>
  <si>
    <t xml:space="preserve">Policy review</t>
  </si>
  <si>
    <t xml:space="preserve">D1-V10</t>
  </si>
  <si>
    <t xml:space="preserve">Referral funnel summary</t>
  </si>
  <si>
    <t xml:space="preserve">channel</t>
  </si>
  <si>
    <t xml:space="preserve">Do referrals convert?</t>
  </si>
  <si>
    <t xml:space="preserve">Referral reward design</t>
  </si>
  <si>
    <t xml:space="preserve">D1-V11</t>
  </si>
  <si>
    <t xml:space="preserve">Data-quality status tile</t>
  </si>
  <si>
    <t xml:space="preserve">Quality checks pass rate</t>
  </si>
  <si>
    <t xml:space="preserve">Quality log</t>
  </si>
  <si>
    <t xml:space="preserve">dataset</t>
  </si>
  <si>
    <t xml:space="preserve">Can we trust today numbers?</t>
  </si>
  <si>
    <t xml:space="preserve">Whether to publish</t>
  </si>
  <si>
    <t xml:space="preserve">D2 User Analytics</t>
  </si>
  <si>
    <t xml:space="preserve">D2-V01</t>
  </si>
  <si>
    <t xml:space="preserve">Registrations over time</t>
  </si>
  <si>
    <t xml:space="preserve">Line/column</t>
  </si>
  <si>
    <t xml:space="preserve">Date range, source, device, state</t>
  </si>
  <si>
    <t xml:space="preserve">Last 90 days; cohort by registration month</t>
  </si>
  <si>
    <t xml:space="preserve">Growth trend?</t>
  </si>
  <si>
    <t xml:space="preserve">Marketing</t>
  </si>
  <si>
    <t xml:space="preserve">D2-V02</t>
  </si>
  <si>
    <t xml:space="preserve">Acquisition source mix</t>
  </si>
  <si>
    <t xml:space="preserve">Donut/bar</t>
  </si>
  <si>
    <t xml:space="preserve">Which channels bring users?</t>
  </si>
  <si>
    <t xml:space="preserve">D2-V03</t>
  </si>
  <si>
    <t xml:space="preserve">Device and platform</t>
  </si>
  <si>
    <t xml:space="preserve">Bar</t>
  </si>
  <si>
    <t xml:space="preserve">device, platform</t>
  </si>
  <si>
    <t xml:space="preserve">What to build first?</t>
  </si>
  <si>
    <t xml:space="preserve">Engineering priority</t>
  </si>
  <si>
    <t xml:space="preserve">D2-V04</t>
  </si>
  <si>
    <t xml:space="preserve">Active vs returning vs inactive</t>
  </si>
  <si>
    <t xml:space="preserve">K-U03, K-U06, K-U12</t>
  </si>
  <si>
    <t xml:space="preserve">Stacked area</t>
  </si>
  <si>
    <t xml:space="preserve">week</t>
  </si>
  <si>
    <t xml:space="preserve">Who stays?</t>
  </si>
  <si>
    <t xml:space="preserve">Re-engagement</t>
  </si>
  <si>
    <t xml:space="preserve">D2-V05</t>
  </si>
  <si>
    <t xml:space="preserve">Lifecycle: verification and onboarding</t>
  </si>
  <si>
    <t xml:space="preserve">K-U05, K-U07</t>
  </si>
  <si>
    <t xml:space="preserve">Where do new users stall?</t>
  </si>
  <si>
    <t xml:space="preserve">Onboarding changes</t>
  </si>
  <si>
    <t xml:space="preserve">D2-V06</t>
  </si>
  <si>
    <t xml:space="preserve">COUNT users by state</t>
  </si>
  <si>
    <t xml:space="preserve">Map or ranked bar</t>
  </si>
  <si>
    <t xml:space="preserve">Where are users?</t>
  </si>
  <si>
    <t xml:space="preserve">Regional focus</t>
  </si>
  <si>
    <t xml:space="preserve">D2-V07</t>
  </si>
  <si>
    <t xml:space="preserve">Account status mix</t>
  </si>
  <si>
    <t xml:space="preserve">Risk exposure?</t>
  </si>
  <si>
    <t xml:space="preserve">D3 Engagement</t>
  </si>
  <si>
    <t xml:space="preserve">D3-V01</t>
  </si>
  <si>
    <t xml:space="preserve">Feature usage ranking</t>
  </si>
  <si>
    <t xml:space="preserve">Date range, feature, task_type, device</t>
  </si>
  <si>
    <t xml:space="preserve">Last 30 days</t>
  </si>
  <si>
    <t xml:space="preserve">What do users use?</t>
  </si>
  <si>
    <t xml:space="preserve">D3-V02</t>
  </si>
  <si>
    <t xml:space="preserve">Task starts and completions</t>
  </si>
  <si>
    <t xml:space="preserve">Combo chart</t>
  </si>
  <si>
    <t xml:space="preserve">Is throughput stable?</t>
  </si>
  <si>
    <t xml:space="preserve">Capacity</t>
  </si>
  <si>
    <t xml:space="preserve">D3-V03</t>
  </si>
  <si>
    <t xml:space="preserve">Completion rate by task type</t>
  </si>
  <si>
    <t xml:space="preserve">Which tasks underperform?</t>
  </si>
  <si>
    <t xml:space="preserve">Task retirement</t>
  </si>
  <si>
    <t xml:space="preserve">D3-V04</t>
  </si>
  <si>
    <t xml:space="preserve">Failure categories</t>
  </si>
  <si>
    <t xml:space="preserve">Pareto</t>
  </si>
  <si>
    <t xml:space="preserve">What breaks most?</t>
  </si>
  <si>
    <t xml:space="preserve">Bug priority</t>
  </si>
  <si>
    <t xml:space="preserve">D3-V05</t>
  </si>
  <si>
    <t xml:space="preserve">Heat map by feature and week</t>
  </si>
  <si>
    <t xml:space="preserve">Is use habitual?</t>
  </si>
  <si>
    <t xml:space="preserve">Habit design</t>
  </si>
  <si>
    <t xml:space="preserve">D3-V06</t>
  </si>
  <si>
    <t xml:space="preserve">Daily reward and streak</t>
  </si>
  <si>
    <t xml:space="preserve">K-E07, K-E10</t>
  </si>
  <si>
    <t xml:space="preserve">Line</t>
  </si>
  <si>
    <t xml:space="preserve">date</t>
  </si>
  <si>
    <t xml:space="preserve">Do habit loops work?</t>
  </si>
  <si>
    <t xml:space="preserve">Mechanic tuning</t>
  </si>
  <si>
    <t xml:space="preserve">D4 Rewards</t>
  </si>
  <si>
    <t xml:space="preserve">D4-V01</t>
  </si>
  <si>
    <t xml:space="preserve">Credits over time</t>
  </si>
  <si>
    <t xml:space="preserve">Line by unit</t>
  </si>
  <si>
    <t xml:space="preserve">Date range, source_type, unit, status</t>
  </si>
  <si>
    <t xml:space="preserve">Is reward volume stable?</t>
  </si>
  <si>
    <t xml:space="preserve">Budget</t>
  </si>
  <si>
    <t xml:space="preserve">D4-V02</t>
  </si>
  <si>
    <t xml:space="preserve">Credits by source</t>
  </si>
  <si>
    <t xml:space="preserve">Which mechanic costs most?</t>
  </si>
  <si>
    <t xml:space="preserve">Rebalancing</t>
  </si>
  <si>
    <t xml:space="preserve">D4-V03</t>
  </si>
  <si>
    <t xml:space="preserve">Reward status mix</t>
  </si>
  <si>
    <t xml:space="preserve">pending/credited/reversed share</t>
  </si>
  <si>
    <t xml:space="preserve">100% bar</t>
  </si>
  <si>
    <t xml:space="preserve">How many are stuck?</t>
  </si>
  <si>
    <t xml:space="preserve">D4-V04</t>
  </si>
  <si>
    <t xml:space="preserve">Pending ageing</t>
  </si>
  <si>
    <t xml:space="preserve">Histogram</t>
  </si>
  <si>
    <t xml:space="preserve">age bucket</t>
  </si>
  <si>
    <t xml:space="preserve">Are rewards delayed?</t>
  </si>
  <si>
    <t xml:space="preserve">Escalation</t>
  </si>
  <si>
    <t xml:space="preserve">D4-V05</t>
  </si>
  <si>
    <t xml:space="preserve">Reversal trend</t>
  </si>
  <si>
    <t xml:space="preserve">Is integrity worsening?</t>
  </si>
  <si>
    <t xml:space="preserve">Provider review</t>
  </si>
  <si>
    <t xml:space="preserve">D5 Wallet</t>
  </si>
  <si>
    <t xml:space="preserve">D5-V01</t>
  </si>
  <si>
    <t xml:space="preserve">Transactions by type</t>
  </si>
  <si>
    <t xml:space="preserve">Stacked column</t>
  </si>
  <si>
    <t xml:space="preserve">Date range, transaction_type, unit, status</t>
  </si>
  <si>
    <t xml:space="preserve">What flows through the wallet?</t>
  </si>
  <si>
    <t xml:space="preserve">Ledger health</t>
  </si>
  <si>
    <t xml:space="preserve">D5-V02</t>
  </si>
  <si>
    <t xml:space="preserve">Liability growth?</t>
  </si>
  <si>
    <t xml:space="preserve">Finance planning</t>
  </si>
  <si>
    <t xml:space="preserve">D5-V03</t>
  </si>
  <si>
    <t xml:space="preserve">Do users spend?</t>
  </si>
  <si>
    <t xml:space="preserve">Redemption design</t>
  </si>
  <si>
    <t xml:space="preserve">D5-V04</t>
  </si>
  <si>
    <t xml:space="preserve">Reversals</t>
  </si>
  <si>
    <t xml:space="preserve">Any reversal spikes?</t>
  </si>
  <si>
    <t xml:space="preserve">Investigation</t>
  </si>
  <si>
    <t xml:space="preserve">D5-V05</t>
  </si>
  <si>
    <t xml:space="preserve">Balance reconciliation check</t>
  </si>
  <si>
    <t xml:space="preserve">ledger sum vs balance</t>
  </si>
  <si>
    <t xml:space="preserve">Table with pass/fail</t>
  </si>
  <si>
    <t xml:space="preserve">Does the ledger balance?</t>
  </si>
  <si>
    <t xml:space="preserve">Release gate</t>
  </si>
  <si>
    <t xml:space="preserve">D6 Withdrawals</t>
  </si>
  <si>
    <t xml:space="preserve">D6-V01</t>
  </si>
  <si>
    <t xml:space="preserve">Requests over time</t>
  </si>
  <si>
    <t xml:space="preserve">Date range, method, status</t>
  </si>
  <si>
    <t xml:space="preserve">Hourly for queue; daily for rest</t>
  </si>
  <si>
    <t xml:space="preserve">Demand?</t>
  </si>
  <si>
    <t xml:space="preserve">D6-V02</t>
  </si>
  <si>
    <t xml:space="preserve">Status distribution</t>
  </si>
  <si>
    <t xml:space="preserve">K-D02..D04, D08</t>
  </si>
  <si>
    <t xml:space="preserve">Outcomes?</t>
  </si>
  <si>
    <t xml:space="preserve">Policy</t>
  </si>
  <si>
    <t xml:space="preserve">D6-V03</t>
  </si>
  <si>
    <t xml:space="preserve">Median and P90 line</t>
  </si>
  <si>
    <t xml:space="preserve">Is service fast?</t>
  </si>
  <si>
    <t xml:space="preserve">SLA</t>
  </si>
  <si>
    <t xml:space="preserve">D6-V04</t>
  </si>
  <si>
    <t xml:space="preserve">Pending queue and ageing</t>
  </si>
  <si>
    <t xml:space="preserve">Bar by age bucket</t>
  </si>
  <si>
    <t xml:space="preserve">Who is waiting?</t>
  </si>
  <si>
    <t xml:space="preserve">D6-V05</t>
  </si>
  <si>
    <t xml:space="preserve">Payout method mix</t>
  </si>
  <si>
    <t xml:space="preserve">Donut</t>
  </si>
  <si>
    <t xml:space="preserve">Which methods matter?</t>
  </si>
  <si>
    <t xml:space="preserve">Method roadmap</t>
  </si>
  <si>
    <t xml:space="preserve">D6-V06</t>
  </si>
  <si>
    <t xml:space="preserve">Why rejected?</t>
  </si>
  <si>
    <t xml:space="preserve">Message and rules</t>
  </si>
  <si>
    <t xml:space="preserve">D7 Referrals</t>
  </si>
  <si>
    <t xml:space="preserve">D7-V01</t>
  </si>
  <si>
    <t xml:space="preserve">K-F01..F05</t>
  </si>
  <si>
    <t xml:space="preserve">Date range, channel, stage</t>
  </si>
  <si>
    <t xml:space="preserve">Last 90 days</t>
  </si>
  <si>
    <t xml:space="preserve">Where do referrals drop?</t>
  </si>
  <si>
    <t xml:space="preserve">Referral design</t>
  </si>
  <si>
    <t xml:space="preserve">D7-V02</t>
  </si>
  <si>
    <t xml:space="preserve">Referrals created over time</t>
  </si>
  <si>
    <t xml:space="preserve">Is sharing growing?</t>
  </si>
  <si>
    <t xml:space="preserve">Campaigns</t>
  </si>
  <si>
    <t xml:space="preserve">D7-V03</t>
  </si>
  <si>
    <t xml:space="preserve">Conversion by channel</t>
  </si>
  <si>
    <t xml:space="preserve">Which channel converts?</t>
  </si>
  <si>
    <t xml:space="preserve">Spend</t>
  </si>
  <si>
    <t xml:space="preserve">D7-V04</t>
  </si>
  <si>
    <t xml:space="preserve">Top referrers (anonymised IDs)</t>
  </si>
  <si>
    <t xml:space="preserve">COUNT conversions per referrer</t>
  </si>
  <si>
    <t xml:space="preserve">Ranked bar</t>
  </si>
  <si>
    <t xml:space="preserve">referrer</t>
  </si>
  <si>
    <t xml:space="preserve">Concentration risk?</t>
  </si>
  <si>
    <t xml:space="preserve">Abuse review</t>
  </si>
  <si>
    <t xml:space="preserve">Q - Metric/Event Change Log (baseline entries)</t>
  </si>
  <si>
    <t xml:space="preserve">Date</t>
  </si>
  <si>
    <t xml:space="preserve">Change</t>
  </si>
  <si>
    <t xml:space="preserve">Old Definition</t>
  </si>
  <si>
    <t xml:space="preserve">New Definition</t>
  </si>
  <si>
    <t xml:space="preserve">Reason</t>
  </si>
  <si>
    <t xml:space="preserve">Affected KPIs</t>
  </si>
  <si>
    <t xml:space="preserve">Affected Dashboards</t>
  </si>
  <si>
    <t xml:space="preserve">Affected Reports</t>
  </si>
  <si>
    <t xml:space="preserve">Version</t>
  </si>
  <si>
    <t xml:space="preserve">Baseline created</t>
  </si>
  <si>
    <t xml:space="preserve">Event catalogue, dictionary and KPI catalogue v1.0</t>
  </si>
  <si>
    <t xml:space="preserve">First complete draft for engineering review</t>
  </si>
  <si>
    <t xml:space="preserve">All</t>
  </si>
  <si>
    <t xml:space="preserve">D1-D7</t>
  </si>
  <si>
    <t xml:space="preserve">Final Consolidated Report</t>
  </si>
  <si>
    <t xml:space="preserve">Iqra Siddiqui</t>
  </si>
  <si>
    <t xml:space="preserve">1.0</t>
  </si>
  <si>
    <t xml:space="preserve">Naming standard adopted</t>
  </si>
  <si>
    <t xml:space="preserve">object_action in snake_case, past-tense verb</t>
  </si>
  <si>
    <t xml:space="preserve">Matches the brief minimum events and stays short</t>
  </si>
  <si>
    <t xml:space="preserve">All event-based KPIs</t>
  </si>
  <si>
    <t xml:space="preserve">Event Tracking Plan</t>
  </si>
  <si>
    <t xml:space="preserve">DAU definition proposed</t>
  </si>
  <si>
    <t xml:space="preserve">Unique users with a qualifying activity event in a calendar day</t>
  </si>
  <si>
    <t xml:space="preserve">Avoid login-only definition; qualifying list pending A017</t>
  </si>
  <si>
    <t xml:space="preserve">K-U03, K-U04, K-U12</t>
  </si>
  <si>
    <t xml:space="preserve">D1, D2</t>
  </si>
  <si>
    <t xml:space="preserve">Executive Summary</t>
  </si>
  <si>
    <t xml:space="preserve">task_completed defined</t>
  </si>
  <si>
    <t xml:space="preserve">Emitted only after validation passes</t>
  </si>
  <si>
    <t xml:space="preserve">Separate activity from reward</t>
  </si>
  <si>
    <t xml:space="preserve">K-E03, K-R05</t>
  </si>
  <si>
    <t xml:space="preserve">D1, D3, D4</t>
  </si>
  <si>
    <t xml:space="preserve">Developer Handoff</t>
  </si>
  <si>
    <t xml:space="preserve">Change management process</t>
  </si>
  <si>
    <t xml:space="preserve">Feature changes</t>
  </si>
  <si>
    <t xml:space="preserve">Update coverage matrix and event plan; version bump; notify KPI owners</t>
  </si>
  <si>
    <t xml:space="preserve">Event changes</t>
  </si>
  <si>
    <t xml:space="preserve">Never rename silently: add new event, deprecate old for a defined overlap period, log in change log</t>
  </si>
  <si>
    <t xml:space="preserve">Reward mechanic changes</t>
  </si>
  <si>
    <t xml:space="preserve">Record effective date; add reward_rule_version; split trend charts at the change</t>
  </si>
  <si>
    <t xml:space="preserve">Withdrawal method changes</t>
  </si>
  <si>
    <t xml:space="preserve">Add to approved method list; keep history; annotate dashboards</t>
  </si>
  <si>
    <t xml:space="preserve">Field renames</t>
  </si>
  <si>
    <t xml:space="preserve">Keep mapping old to new in dictionary; transformation layer exposes both until retired</t>
  </si>
  <si>
    <t xml:space="preserve">KPI definition changes</t>
  </si>
  <si>
    <t xml:space="preserve">New version; restate history or mark break; list affected dashboards</t>
  </si>
  <si>
    <t xml:space="preserve">Dashboard changes</t>
  </si>
  <si>
    <t xml:space="preserve">Version the spec; record visuals added/removed; owner sign-off</t>
  </si>
  <si>
    <t xml:space="preserve">R - Analytics Readiness Assessment (scores are the analyst assessment; 0 = not verified)</t>
  </si>
  <si>
    <t xml:space="preserve">Dimension</t>
  </si>
  <si>
    <t xml:space="preserve">Design Completeness (this project, 0-5)</t>
  </si>
  <si>
    <t xml:space="preserve">Verified in VELOOP Production (0-5)</t>
  </si>
  <si>
    <t xml:space="preserve">Gap Priority</t>
  </si>
  <si>
    <t xml:space="preserve">Event coverage</t>
  </si>
  <si>
    <t xml:space="preserve">42 events specified; none confirmed to exist (S011, A001, A005)</t>
  </si>
  <si>
    <t xml:space="preserve">Without verified events no production KPI can be produced.</t>
  </si>
  <si>
    <t xml:space="preserve">Data model</t>
  </si>
  <si>
    <t xml:space="preserve">Logical model and 10 entities; only Users structure seen in simulated form</t>
  </si>
  <si>
    <t xml:space="preserve">Wallet transaction_id and referral linkage unverified.</t>
  </si>
  <si>
    <t xml:space="preserve">Data dictionary</t>
  </si>
  <si>
    <t xml:space="preserve">106 fields; 44 exist in simulated structure; none verified in production</t>
  </si>
  <si>
    <t xml:space="preserve">Dictionary must be reconciled with the real schema.</t>
  </si>
  <si>
    <t xml:space="preserve">KPI definitions</t>
  </si>
  <si>
    <t xml:space="preserve">54 KPIs defined; 27 can be tested on the supplied simulated data on supplied simulated data</t>
  </si>
  <si>
    <t xml:space="preserve">Many KPIs depend on tables not supplied (J3).</t>
  </si>
  <si>
    <t xml:space="preserve">Data quality</t>
  </si>
  <si>
    <t xml:space="preserve">26 issues logged; 22 controls designed; none implemented</t>
  </si>
  <si>
    <t xml:space="preserve">Duplicates and malformed dates exist in sample.</t>
  </si>
  <si>
    <t xml:space="preserve">Dashboard readiness</t>
  </si>
  <si>
    <t xml:space="preserve">7 dashboards, 44 visuals specified; no production data</t>
  </si>
  <si>
    <t xml:space="preserve">Cannot be built until data layer exists.</t>
  </si>
  <si>
    <t xml:space="preserve">Engineering instrumentation</t>
  </si>
  <si>
    <t xml:space="preserve">Handoff specification written; implementation status unknown</t>
  </si>
  <si>
    <t xml:space="preserve">Instrumentation determines everything else.</t>
  </si>
  <si>
    <t xml:space="preserve">Access control</t>
  </si>
  <si>
    <t xml:space="preserve">Role model proposed; current access unknown</t>
  </si>
  <si>
    <t xml:space="preserve">Minimise personal data in analytics layer.</t>
  </si>
  <si>
    <t xml:space="preserve">Documentation</t>
  </si>
  <si>
    <t xml:space="preserve">Source register, 30 assumptions, change log</t>
  </si>
  <si>
    <t xml:space="preserve">Needs ownership and review cadence.</t>
  </si>
  <si>
    <t xml:space="preserve">Reporting</t>
  </si>
  <si>
    <t xml:space="preserve">Dashboard blueprint only</t>
  </si>
  <si>
    <t xml:space="preserve">Depends on pipeline.</t>
  </si>
  <si>
    <t xml:space="preserve">Average</t>
  </si>
  <si>
    <t xml:space="preserve">Reading the scores: column B rates how complete the DESIGN is; column C rates what is VERIFIED in production. Column C is 0 because no production evidence was supplied (brief section 35). Nothing here is a claim about VELOOP performance.</t>
  </si>
  <si>
    <t xml:space="preserve">Final Implementation Backlog</t>
  </si>
  <si>
    <t xml:space="preserve">Requirement</t>
  </si>
  <si>
    <t xml:space="preserve">Dependency</t>
  </si>
  <si>
    <t xml:space="preserve">Stage</t>
  </si>
  <si>
    <t xml:space="preserve">Stable, immutable user_id issued at registration</t>
  </si>
  <si>
    <t xml:space="preserve">Cross-event analysis (A002)</t>
  </si>
  <si>
    <t xml:space="preserve">Authentication</t>
  </si>
  <si>
    <t xml:space="preserve">Prelaunch</t>
  </si>
  <si>
    <t xml:space="preserve">Unique event_id with idempotent writes</t>
  </si>
  <si>
    <t xml:space="preserve">Duplicate events inflate KPIs (10 duplicates in sample audit)</t>
  </si>
  <si>
    <t xml:space="preserve">Event service</t>
  </si>
  <si>
    <t xml:space="preserve">Wallet transaction_id and append-only ledger</t>
  </si>
  <si>
    <t xml:space="preserve">Reconciliation and deduplication</t>
  </si>
  <si>
    <t xml:space="preserve">Referral table with referrer and referred IDs and stage timestamps</t>
  </si>
  <si>
    <t xml:space="preserve">Referral conversion cannot be computed otherwise</t>
  </si>
  <si>
    <t xml:space="preserve">Registration, Referral</t>
  </si>
  <si>
    <t xml:space="preserve">Withdrawal lifecycle with requested, processing, final timestamps</t>
  </si>
  <si>
    <t xml:space="preserve">Processing-time and queue KPIs</t>
  </si>
  <si>
    <t xml:space="preserve">Emit task_started / task_completed / task_failed events</t>
  </si>
  <si>
    <t xml:space="preserve">Core earning analytics</t>
  </si>
  <si>
    <t xml:space="preserve">Emit reward_credited linked to ledger entry</t>
  </si>
  <si>
    <t xml:space="preserve">Separate activity from credit</t>
  </si>
  <si>
    <t xml:space="preserve">Rewards, Wallet</t>
  </si>
  <si>
    <t xml:space="preserve">Separate pre/post suspension activity</t>
  </si>
  <si>
    <t xml:space="preserve">Accounts</t>
  </si>
  <si>
    <t xml:space="preserve">Session identifier and session end rule</t>
  </si>
  <si>
    <t xml:space="preserve">Funnels and session KPIs</t>
  </si>
  <si>
    <t xml:space="preserve">Frontend/Backend</t>
  </si>
  <si>
    <t xml:space="preserve">Approved enum lists (failure_category, reason_category, unit, method)</t>
  </si>
  <si>
    <t xml:space="preserve">Prevents free-text drift</t>
  </si>
  <si>
    <t xml:space="preserve">Product decisions</t>
  </si>
  <si>
    <t xml:space="preserve">Timezone standard (UTC storage, IST reporting if needed)</t>
  </si>
  <si>
    <t xml:space="preserve">Day-boundary KPIs</t>
  </si>
  <si>
    <t xml:space="preserve">Confirm eligibility rules for pending and suspended accounts</t>
  </si>
  <si>
    <t xml:space="preserve">Resolves DQ-017, DQ-026</t>
  </si>
  <si>
    <t xml:space="preserve">Raw layer + validation job + quarantine table</t>
  </si>
  <si>
    <t xml:space="preserve">Quality controls</t>
  </si>
  <si>
    <t xml:space="preserve">Storage</t>
  </si>
  <si>
    <t xml:space="preserve">Publish KPI definitions and DAU qualifying-event list</t>
  </si>
  <si>
    <t xml:space="preserve">Reproducible metrics</t>
  </si>
  <si>
    <t xml:space="preserve">Obtain missing Task 01 simulated sheets (A003)</t>
  </si>
  <si>
    <t xml:space="preserve">Complete J2/J3 testing</t>
  </si>
  <si>
    <t xml:space="preserve">Program team</t>
  </si>
  <si>
    <t xml:space="preserve">Admin</t>
  </si>
  <si>
    <t xml:space="preserve">Immediate</t>
  </si>
  <si>
    <t xml:space="preserve">Consent history capture</t>
  </si>
  <si>
    <t xml:space="preserve">Compliance audit</t>
  </si>
  <si>
    <t xml:space="preserve">Legal</t>
  </si>
  <si>
    <t xml:space="preserve">Third-party outcome fields (provider_ref, provider_status)</t>
  </si>
  <si>
    <t xml:space="preserve">Attribute external effects</t>
  </si>
  <si>
    <t xml:space="preserve">Providers</t>
  </si>
  <si>
    <t xml:space="preserve">Postlaunch</t>
  </si>
  <si>
    <t xml:space="preserve">Data-quality dashboard tile and alerts</t>
  </si>
  <si>
    <t xml:space="preserve">Operational trust</t>
  </si>
  <si>
    <t xml:space="preserve">Pipeline</t>
  </si>
  <si>
    <t xml:space="preserve">Role-based access and hashed identifiers in analytics layer</t>
  </si>
  <si>
    <t xml:space="preserve">Privacy</t>
  </si>
  <si>
    <t xml:space="preserve">Governance</t>
  </si>
  <si>
    <t xml:space="preserve">Support ticket category tracking</t>
  </si>
  <si>
    <t xml:space="preserve">Badge/level/leaderboard analytics</t>
  </si>
  <si>
    <t xml:space="preserve">Low business risk</t>
  </si>
  <si>
    <t xml:space="preserve">Core events</t>
  </si>
  <si>
    <t xml:space="preserve">Advanced management dashboard</t>
  </si>
  <si>
    <t xml:space="preserve">Needs production data</t>
  </si>
  <si>
    <t xml:space="preserve">Production data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</si>
</sst>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%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7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7F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5" hidden="false" customHeight="true" outlineLevel="0" collapsed="false">
      <c r="A3" s="3" t="s">
        <v>2</v>
      </c>
      <c r="B3" s="3"/>
      <c r="C3" s="3"/>
      <c r="D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2" t="s">
        <v>6</v>
      </c>
      <c r="B6" s="2" t="n">
        <f aca="false">COUNTA('7 Event Plan (F)'!A4:A45)</f>
        <v>42</v>
      </c>
      <c r="C6" s="2" t="s">
        <v>7</v>
      </c>
    </row>
    <row r="7" customFormat="false" ht="15" hidden="false" customHeight="false" outlineLevel="0" collapsed="false">
      <c r="A7" s="2" t="s">
        <v>8</v>
      </c>
      <c r="B7" s="2" t="n">
        <f aca="false">COUNTA('10 Data Dictionary (G)'!B4:B109)</f>
        <v>106</v>
      </c>
      <c r="C7" s="2" t="s">
        <v>9</v>
      </c>
    </row>
    <row r="8" customFormat="false" ht="15" hidden="false" customHeight="false" outlineLevel="0" collapsed="false">
      <c r="A8" s="2" t="s">
        <v>10</v>
      </c>
      <c r="B8" s="2" t="n">
        <f aca="false">COUNTA('11 KPI Catalogue (I)'!A4:A57)</f>
        <v>54</v>
      </c>
      <c r="C8" s="2" t="s">
        <v>11</v>
      </c>
    </row>
    <row r="9" customFormat="false" ht="15" hidden="false" customHeight="false" outlineLevel="0" collapsed="false">
      <c r="A9" s="2" t="s">
        <v>12</v>
      </c>
      <c r="B9" s="2" t="n">
        <f aca="false">COUNTA('5 Analytics Gaps'!A4:A17)</f>
        <v>14</v>
      </c>
      <c r="C9" s="2" t="s">
        <v>13</v>
      </c>
    </row>
    <row r="10" customFormat="false" ht="15" hidden="false" customHeight="false" outlineLevel="0" collapsed="false">
      <c r="A10" s="2" t="s">
        <v>14</v>
      </c>
      <c r="B10" s="2" t="n">
        <f aca="false">COUNTA('2 Assumptions (S)'!A4:A33)</f>
        <v>30</v>
      </c>
      <c r="C10" s="2" t="s">
        <v>15</v>
      </c>
    </row>
    <row r="11" customFormat="false" ht="15" hidden="false" customHeight="false" outlineLevel="0" collapsed="false">
      <c r="A11" s="2" t="s">
        <v>16</v>
      </c>
      <c r="B11" s="2" t="n">
        <f aca="false">COUNTA('16 DQ Audit (K)'!A4:A29)</f>
        <v>26</v>
      </c>
      <c r="C11" s="2" t="s">
        <v>15</v>
      </c>
    </row>
    <row r="12" customFormat="false" ht="15" hidden="false" customHeight="false" outlineLevel="0" collapsed="false">
      <c r="A12" s="2" t="s">
        <v>17</v>
      </c>
      <c r="B12" s="2" t="n">
        <f aca="false">COUNTIF('16 DQ Audit (K)'!F4:F29,"Critical")</f>
        <v>1</v>
      </c>
      <c r="C12" s="2" t="s">
        <v>15</v>
      </c>
    </row>
    <row r="13" customFormat="false" ht="15" hidden="false" customHeight="false" outlineLevel="0" collapsed="false">
      <c r="A13" s="2" t="s">
        <v>18</v>
      </c>
      <c r="B13" s="2" t="n">
        <f aca="false">COUNTIF('16 DQ Audit (K)'!F4:F29,"High")</f>
        <v>9</v>
      </c>
      <c r="C13" s="2" t="s">
        <v>15</v>
      </c>
    </row>
    <row r="14" customFormat="false" ht="15" hidden="false" customHeight="false" outlineLevel="0" collapsed="false">
      <c r="A14" s="2" t="s">
        <v>19</v>
      </c>
      <c r="B14" s="2" t="n">
        <f aca="false">COUNTA('18 Dashboard Spec (M)'!B4:B47)</f>
        <v>44</v>
      </c>
      <c r="C14" s="2" t="s">
        <v>15</v>
      </c>
    </row>
    <row r="15" customFormat="false" ht="15" hidden="false" customHeight="false" outlineLevel="0" collapsed="false">
      <c r="A15" s="2" t="s">
        <v>20</v>
      </c>
      <c r="B15" s="2" t="n">
        <f aca="false">COUNTA('21 Backlog'!B4:B25)</f>
        <v>22</v>
      </c>
      <c r="C15" s="2" t="s">
        <v>15</v>
      </c>
    </row>
    <row r="18" customFormat="false" ht="15" hidden="false" customHeight="false" outlineLevel="0" collapsed="false">
      <c r="A18" s="5" t="s">
        <v>21</v>
      </c>
    </row>
    <row r="19" customFormat="false" ht="15" hidden="false" customHeight="false" outlineLevel="0" collapsed="false">
      <c r="A19" s="2" t="s">
        <v>22</v>
      </c>
      <c r="B19" s="2" t="s">
        <v>23</v>
      </c>
    </row>
    <row r="20" customFormat="false" ht="15" hidden="false" customHeight="false" outlineLevel="0" collapsed="false">
      <c r="A20" s="2" t="s">
        <v>24</v>
      </c>
      <c r="B20" s="2" t="s">
        <v>25</v>
      </c>
    </row>
    <row r="21" customFormat="false" ht="15" hidden="false" customHeight="false" outlineLevel="0" collapsed="false">
      <c r="A21" s="2" t="s">
        <v>26</v>
      </c>
      <c r="B21" s="2" t="s">
        <v>27</v>
      </c>
    </row>
    <row r="22" customFormat="false" ht="15" hidden="false" customHeight="false" outlineLevel="0" collapsed="false">
      <c r="A22" s="2" t="s">
        <v>28</v>
      </c>
      <c r="B22" s="2" t="s">
        <v>29</v>
      </c>
    </row>
    <row r="23" customFormat="false" ht="15" hidden="false" customHeight="false" outlineLevel="0" collapsed="false">
      <c r="A23" s="2" t="s">
        <v>30</v>
      </c>
      <c r="B23" s="2" t="s">
        <v>31</v>
      </c>
    </row>
    <row r="24" customFormat="false" ht="15" hidden="false" customHeight="false" outlineLevel="0" collapsed="false">
      <c r="A24" s="2" t="s">
        <v>32</v>
      </c>
      <c r="B24" s="2" t="s">
        <v>33</v>
      </c>
    </row>
    <row r="25" customFormat="false" ht="15" hidden="false" customHeight="false" outlineLevel="0" collapsed="false">
      <c r="A25" s="2" t="s">
        <v>34</v>
      </c>
      <c r="B25" s="2" t="s">
        <v>35</v>
      </c>
    </row>
    <row r="26" customFormat="false" ht="15" hidden="false" customHeight="false" outlineLevel="0" collapsed="false">
      <c r="A26" s="2" t="s">
        <v>36</v>
      </c>
      <c r="B26" s="2" t="s">
        <v>37</v>
      </c>
    </row>
    <row r="27" customFormat="false" ht="15" hidden="false" customHeight="false" outlineLevel="0" collapsed="false">
      <c r="A27" s="2" t="s">
        <v>38</v>
      </c>
      <c r="B27" s="2" t="s">
        <v>39</v>
      </c>
    </row>
    <row r="28" customFormat="false" ht="15" hidden="false" customHeight="false" outlineLevel="0" collapsed="false">
      <c r="A28" s="2" t="s">
        <v>40</v>
      </c>
      <c r="B28" s="2" t="s">
        <v>41</v>
      </c>
    </row>
    <row r="29" customFormat="false" ht="15" hidden="false" customHeight="false" outlineLevel="0" collapsed="false">
      <c r="A29" s="2" t="s">
        <v>42</v>
      </c>
      <c r="B29" s="2" t="s">
        <v>43</v>
      </c>
    </row>
    <row r="30" customFormat="false" ht="15" hidden="false" customHeight="false" outlineLevel="0" collapsed="false">
      <c r="A30" s="2" t="s">
        <v>44</v>
      </c>
      <c r="B30" s="2" t="s">
        <v>45</v>
      </c>
    </row>
    <row r="31" customFormat="false" ht="15" hidden="false" customHeight="false" outlineLevel="0" collapsed="false">
      <c r="A31" s="2" t="s">
        <v>46</v>
      </c>
      <c r="B31" s="2" t="s">
        <v>47</v>
      </c>
    </row>
    <row r="32" customFormat="false" ht="15" hidden="false" customHeight="false" outlineLevel="0" collapsed="false">
      <c r="A32" s="2" t="s">
        <v>48</v>
      </c>
      <c r="B32" s="2" t="s">
        <v>49</v>
      </c>
    </row>
  </sheetData>
  <mergeCells count="1"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0"/>
    <col collapsed="false" customWidth="true" hidden="false" outlineLevel="0" max="3" min="3" style="0" width="45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6" t="s">
        <v>51</v>
      </c>
    </row>
    <row r="3" customFormat="false" ht="23.85" hidden="false" customHeight="false" outlineLevel="0" collapsed="false">
      <c r="A3" s="7" t="s">
        <v>52</v>
      </c>
      <c r="B3" s="7" t="s">
        <v>53</v>
      </c>
      <c r="C3" s="7" t="s">
        <v>54</v>
      </c>
      <c r="D3" s="7" t="s">
        <v>55</v>
      </c>
      <c r="E3" s="7" t="s">
        <v>56</v>
      </c>
      <c r="F3" s="7" t="s">
        <v>57</v>
      </c>
      <c r="G3" s="7" t="s">
        <v>58</v>
      </c>
    </row>
    <row r="4" customFormat="false" ht="23.85" hidden="false" customHeight="false" outlineLevel="0" collapsed="false">
      <c r="A4" s="8" t="s">
        <v>59</v>
      </c>
      <c r="B4" s="8" t="s">
        <v>60</v>
      </c>
      <c r="C4" s="8" t="s">
        <v>61</v>
      </c>
      <c r="D4" s="8" t="s">
        <v>62</v>
      </c>
      <c r="E4" s="8" t="s">
        <v>63</v>
      </c>
      <c r="F4" s="8" t="s">
        <v>64</v>
      </c>
      <c r="G4" s="8" t="s">
        <v>65</v>
      </c>
    </row>
    <row r="5" customFormat="false" ht="46.25" hidden="false" customHeight="false" outlineLevel="0" collapsed="false">
      <c r="A5" s="8" t="s">
        <v>66</v>
      </c>
      <c r="B5" s="8" t="s">
        <v>67</v>
      </c>
      <c r="C5" s="8" t="s">
        <v>68</v>
      </c>
      <c r="D5" s="8" t="s">
        <v>62</v>
      </c>
      <c r="E5" s="8" t="s">
        <v>63</v>
      </c>
      <c r="F5" s="8" t="s">
        <v>64</v>
      </c>
      <c r="G5" s="8" t="s">
        <v>69</v>
      </c>
    </row>
    <row r="6" customFormat="false" ht="23.85" hidden="false" customHeight="false" outlineLevel="0" collapsed="false">
      <c r="A6" s="8" t="s">
        <v>70</v>
      </c>
      <c r="B6" s="8" t="s">
        <v>71</v>
      </c>
      <c r="C6" s="8" t="s">
        <v>68</v>
      </c>
      <c r="D6" s="8" t="s">
        <v>62</v>
      </c>
      <c r="E6" s="8" t="s">
        <v>63</v>
      </c>
      <c r="F6" s="8" t="s">
        <v>64</v>
      </c>
      <c r="G6" s="8" t="s">
        <v>72</v>
      </c>
    </row>
    <row r="7" customFormat="false" ht="35.05" hidden="false" customHeight="false" outlineLevel="0" collapsed="false">
      <c r="A7" s="8" t="s">
        <v>73</v>
      </c>
      <c r="B7" s="8" t="s">
        <v>74</v>
      </c>
      <c r="C7" s="8" t="s">
        <v>75</v>
      </c>
      <c r="D7" s="8" t="s">
        <v>76</v>
      </c>
      <c r="E7" s="8" t="s">
        <v>63</v>
      </c>
      <c r="F7" s="8" t="s">
        <v>64</v>
      </c>
      <c r="G7" s="8" t="s">
        <v>77</v>
      </c>
    </row>
    <row r="8" customFormat="false" ht="35.05" hidden="false" customHeight="false" outlineLevel="0" collapsed="false">
      <c r="A8" s="8" t="s">
        <v>78</v>
      </c>
      <c r="B8" s="8" t="s">
        <v>79</v>
      </c>
      <c r="C8" s="8" t="s">
        <v>80</v>
      </c>
      <c r="D8" s="8" t="s">
        <v>76</v>
      </c>
      <c r="E8" s="8" t="s">
        <v>63</v>
      </c>
      <c r="F8" s="8" t="s">
        <v>64</v>
      </c>
      <c r="G8" s="8" t="s">
        <v>81</v>
      </c>
    </row>
    <row r="9" customFormat="false" ht="35.05" hidden="false" customHeight="false" outlineLevel="0" collapsed="false">
      <c r="A9" s="8" t="s">
        <v>82</v>
      </c>
      <c r="B9" s="8" t="s">
        <v>83</v>
      </c>
      <c r="C9" s="8" t="s">
        <v>84</v>
      </c>
      <c r="D9" s="8" t="s">
        <v>76</v>
      </c>
      <c r="E9" s="8" t="s">
        <v>63</v>
      </c>
      <c r="F9" s="8" t="s">
        <v>64</v>
      </c>
      <c r="G9" s="8" t="s">
        <v>85</v>
      </c>
    </row>
    <row r="10" customFormat="false" ht="46.25" hidden="false" customHeight="false" outlineLevel="0" collapsed="false">
      <c r="A10" s="8" t="s">
        <v>86</v>
      </c>
      <c r="B10" s="8" t="s">
        <v>87</v>
      </c>
      <c r="C10" s="8" t="s">
        <v>88</v>
      </c>
      <c r="D10" s="8" t="s">
        <v>76</v>
      </c>
      <c r="E10" s="8" t="s">
        <v>63</v>
      </c>
      <c r="F10" s="8" t="s">
        <v>89</v>
      </c>
      <c r="G10" s="8" t="s">
        <v>90</v>
      </c>
    </row>
    <row r="11" customFormat="false" ht="15" hidden="false" customHeight="false" outlineLevel="0" collapsed="false">
      <c r="A11" s="8" t="s">
        <v>91</v>
      </c>
      <c r="B11" s="8" t="s">
        <v>92</v>
      </c>
      <c r="C11" s="8" t="s">
        <v>93</v>
      </c>
      <c r="D11" s="8" t="s">
        <v>94</v>
      </c>
      <c r="E11" s="8" t="s">
        <v>63</v>
      </c>
      <c r="F11" s="8" t="s">
        <v>89</v>
      </c>
      <c r="G11" s="8" t="s">
        <v>95</v>
      </c>
    </row>
    <row r="12" customFormat="false" ht="23.85" hidden="false" customHeight="false" outlineLevel="0" collapsed="false">
      <c r="A12" s="8" t="s">
        <v>96</v>
      </c>
      <c r="B12" s="8" t="s">
        <v>97</v>
      </c>
      <c r="C12" s="8" t="s">
        <v>98</v>
      </c>
      <c r="D12" s="8" t="s">
        <v>62</v>
      </c>
      <c r="E12" s="8" t="s">
        <v>63</v>
      </c>
      <c r="F12" s="8" t="s">
        <v>89</v>
      </c>
      <c r="G12" s="8" t="s">
        <v>99</v>
      </c>
    </row>
    <row r="13" customFormat="false" ht="23.85" hidden="false" customHeight="false" outlineLevel="0" collapsed="false">
      <c r="A13" s="8" t="s">
        <v>100</v>
      </c>
      <c r="B13" s="8" t="s">
        <v>101</v>
      </c>
      <c r="C13" s="8" t="s">
        <v>93</v>
      </c>
      <c r="D13" s="8" t="s">
        <v>94</v>
      </c>
      <c r="E13" s="8" t="s">
        <v>63</v>
      </c>
      <c r="F13" s="8" t="s">
        <v>89</v>
      </c>
      <c r="G13" s="8" t="s">
        <v>102</v>
      </c>
    </row>
    <row r="14" customFormat="false" ht="15" hidden="false" customHeight="false" outlineLevel="0" collapsed="false">
      <c r="A14" s="8" t="s">
        <v>103</v>
      </c>
      <c r="B14" s="8" t="s">
        <v>104</v>
      </c>
      <c r="C14" s="8" t="s">
        <v>105</v>
      </c>
      <c r="D14" s="8" t="s">
        <v>62</v>
      </c>
      <c r="E14" s="8" t="s">
        <v>63</v>
      </c>
      <c r="F14" s="8" t="s">
        <v>89</v>
      </c>
      <c r="G14" s="8" t="s">
        <v>106</v>
      </c>
    </row>
    <row r="15" customFormat="false" ht="23.85" hidden="false" customHeight="false" outlineLevel="0" collapsed="false">
      <c r="A15" s="8" t="s">
        <v>107</v>
      </c>
      <c r="B15" s="8" t="s">
        <v>108</v>
      </c>
      <c r="C15" s="8" t="s">
        <v>109</v>
      </c>
      <c r="D15" s="8" t="s">
        <v>76</v>
      </c>
      <c r="E15" s="8" t="s">
        <v>63</v>
      </c>
      <c r="F15" s="8" t="s">
        <v>89</v>
      </c>
      <c r="G15" s="8" t="s">
        <v>110</v>
      </c>
    </row>
    <row r="16" customFormat="false" ht="23.85" hidden="false" customHeight="false" outlineLevel="0" collapsed="false">
      <c r="A16" s="8" t="s">
        <v>111</v>
      </c>
      <c r="B16" s="8" t="s">
        <v>112</v>
      </c>
      <c r="C16" s="8" t="s">
        <v>113</v>
      </c>
      <c r="D16" s="8" t="s">
        <v>114</v>
      </c>
      <c r="E16" s="8" t="s">
        <v>63</v>
      </c>
      <c r="F16" s="8" t="s">
        <v>115</v>
      </c>
      <c r="G16" s="8" t="s">
        <v>116</v>
      </c>
    </row>
    <row r="17" customFormat="false" ht="23.85" hidden="false" customHeight="false" outlineLevel="0" collapsed="false">
      <c r="A17" s="8" t="s">
        <v>117</v>
      </c>
      <c r="B17" s="8" t="s">
        <v>118</v>
      </c>
      <c r="C17" s="8" t="s">
        <v>119</v>
      </c>
      <c r="D17" s="8" t="s">
        <v>62</v>
      </c>
      <c r="E17" s="8" t="s">
        <v>63</v>
      </c>
      <c r="F17" s="8" t="s">
        <v>64</v>
      </c>
      <c r="G17" s="8" t="s">
        <v>120</v>
      </c>
    </row>
  </sheetData>
  <autoFilter ref="A3:G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3" min="3" style="0" width="50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6" t="s">
        <v>51</v>
      </c>
    </row>
    <row r="3" customFormat="false" ht="15" hidden="false" customHeight="false" outlineLevel="0" collapsed="false">
      <c r="A3" s="7" t="s">
        <v>122</v>
      </c>
      <c r="B3" s="7" t="s">
        <v>123</v>
      </c>
      <c r="C3" s="7" t="s">
        <v>124</v>
      </c>
      <c r="D3" s="7" t="s">
        <v>125</v>
      </c>
      <c r="E3" s="7" t="s">
        <v>126</v>
      </c>
      <c r="F3" s="7" t="s">
        <v>127</v>
      </c>
      <c r="G3" s="7" t="s">
        <v>57</v>
      </c>
    </row>
    <row r="4" customFormat="false" ht="23.85" hidden="false" customHeight="false" outlineLevel="0" collapsed="false">
      <c r="A4" s="8" t="s">
        <v>128</v>
      </c>
      <c r="B4" s="8" t="s">
        <v>129</v>
      </c>
      <c r="C4" s="8" t="s">
        <v>130</v>
      </c>
      <c r="D4" s="8" t="s">
        <v>131</v>
      </c>
      <c r="E4" s="8" t="s">
        <v>132</v>
      </c>
      <c r="F4" s="8" t="s">
        <v>133</v>
      </c>
      <c r="G4" s="8" t="s">
        <v>89</v>
      </c>
    </row>
    <row r="5" customFormat="false" ht="23.85" hidden="false" customHeight="false" outlineLevel="0" collapsed="false">
      <c r="A5" s="8" t="s">
        <v>134</v>
      </c>
      <c r="B5" s="8" t="s">
        <v>135</v>
      </c>
      <c r="C5" s="8" t="s">
        <v>136</v>
      </c>
      <c r="D5" s="8" t="s">
        <v>137</v>
      </c>
      <c r="E5" s="8" t="s">
        <v>138</v>
      </c>
      <c r="F5" s="8" t="s">
        <v>133</v>
      </c>
      <c r="G5" s="8" t="s">
        <v>89</v>
      </c>
    </row>
    <row r="6" customFormat="false" ht="23.85" hidden="false" customHeight="false" outlineLevel="0" collapsed="false">
      <c r="A6" s="8" t="s">
        <v>139</v>
      </c>
      <c r="B6" s="8" t="s">
        <v>140</v>
      </c>
      <c r="C6" s="8" t="s">
        <v>141</v>
      </c>
      <c r="D6" s="8" t="s">
        <v>142</v>
      </c>
      <c r="E6" s="8" t="s">
        <v>132</v>
      </c>
      <c r="F6" s="8" t="s">
        <v>143</v>
      </c>
      <c r="G6" s="8" t="s">
        <v>89</v>
      </c>
    </row>
    <row r="7" customFormat="false" ht="23.85" hidden="false" customHeight="false" outlineLevel="0" collapsed="false">
      <c r="A7" s="8" t="s">
        <v>144</v>
      </c>
      <c r="B7" s="8" t="s">
        <v>145</v>
      </c>
      <c r="C7" s="8" t="s">
        <v>146</v>
      </c>
      <c r="D7" s="8" t="s">
        <v>147</v>
      </c>
      <c r="E7" s="8" t="s">
        <v>132</v>
      </c>
      <c r="F7" s="8" t="s">
        <v>133</v>
      </c>
      <c r="G7" s="8" t="s">
        <v>89</v>
      </c>
    </row>
    <row r="8" customFormat="false" ht="23.85" hidden="false" customHeight="false" outlineLevel="0" collapsed="false">
      <c r="A8" s="8" t="s">
        <v>148</v>
      </c>
      <c r="B8" s="8" t="s">
        <v>149</v>
      </c>
      <c r="C8" s="8" t="s">
        <v>150</v>
      </c>
      <c r="D8" s="8" t="s">
        <v>151</v>
      </c>
      <c r="E8" s="8" t="s">
        <v>138</v>
      </c>
      <c r="F8" s="8" t="s">
        <v>133</v>
      </c>
      <c r="G8" s="8" t="s">
        <v>89</v>
      </c>
    </row>
    <row r="9" customFormat="false" ht="23.85" hidden="false" customHeight="false" outlineLevel="0" collapsed="false">
      <c r="A9" s="8" t="s">
        <v>152</v>
      </c>
      <c r="B9" s="8" t="s">
        <v>153</v>
      </c>
      <c r="C9" s="8" t="s">
        <v>154</v>
      </c>
      <c r="D9" s="8" t="s">
        <v>155</v>
      </c>
      <c r="E9" s="8" t="s">
        <v>156</v>
      </c>
      <c r="F9" s="8" t="s">
        <v>157</v>
      </c>
      <c r="G9" s="8" t="s">
        <v>89</v>
      </c>
    </row>
    <row r="10" customFormat="false" ht="23.85" hidden="false" customHeight="false" outlineLevel="0" collapsed="false">
      <c r="A10" s="8" t="s">
        <v>158</v>
      </c>
      <c r="B10" s="8" t="s">
        <v>159</v>
      </c>
      <c r="C10" s="8" t="s">
        <v>160</v>
      </c>
      <c r="D10" s="8" t="s">
        <v>151</v>
      </c>
      <c r="E10" s="8" t="s">
        <v>132</v>
      </c>
      <c r="F10" s="8" t="s">
        <v>161</v>
      </c>
      <c r="G10" s="8" t="s">
        <v>89</v>
      </c>
    </row>
    <row r="11" customFormat="false" ht="23.85" hidden="false" customHeight="false" outlineLevel="0" collapsed="false">
      <c r="A11" s="8" t="s">
        <v>162</v>
      </c>
      <c r="B11" s="8" t="s">
        <v>163</v>
      </c>
      <c r="C11" s="8" t="s">
        <v>164</v>
      </c>
      <c r="D11" s="8" t="s">
        <v>165</v>
      </c>
      <c r="E11" s="8" t="s">
        <v>132</v>
      </c>
      <c r="F11" s="8" t="s">
        <v>157</v>
      </c>
      <c r="G11" s="8" t="s">
        <v>89</v>
      </c>
    </row>
    <row r="12" customFormat="false" ht="15" hidden="false" customHeight="false" outlineLevel="0" collapsed="false">
      <c r="A12" s="8" t="s">
        <v>166</v>
      </c>
      <c r="B12" s="8" t="s">
        <v>167</v>
      </c>
      <c r="C12" s="8" t="s">
        <v>168</v>
      </c>
      <c r="D12" s="8" t="s">
        <v>151</v>
      </c>
      <c r="E12" s="8" t="s">
        <v>138</v>
      </c>
      <c r="F12" s="8" t="s">
        <v>133</v>
      </c>
      <c r="G12" s="8" t="s">
        <v>89</v>
      </c>
    </row>
    <row r="13" customFormat="false" ht="23.85" hidden="false" customHeight="false" outlineLevel="0" collapsed="false">
      <c r="A13" s="8" t="s">
        <v>169</v>
      </c>
      <c r="B13" s="8" t="s">
        <v>170</v>
      </c>
      <c r="C13" s="8" t="s">
        <v>171</v>
      </c>
      <c r="D13" s="8" t="s">
        <v>151</v>
      </c>
      <c r="E13" s="8" t="s">
        <v>132</v>
      </c>
      <c r="F13" s="8" t="s">
        <v>172</v>
      </c>
      <c r="G13" s="8" t="s">
        <v>89</v>
      </c>
    </row>
    <row r="14" customFormat="false" ht="23.85" hidden="false" customHeight="false" outlineLevel="0" collapsed="false">
      <c r="A14" s="8" t="s">
        <v>173</v>
      </c>
      <c r="B14" s="8" t="s">
        <v>174</v>
      </c>
      <c r="C14" s="8" t="s">
        <v>175</v>
      </c>
      <c r="D14" s="8" t="s">
        <v>176</v>
      </c>
      <c r="E14" s="8" t="s">
        <v>132</v>
      </c>
      <c r="F14" s="8" t="s">
        <v>133</v>
      </c>
      <c r="G14" s="8" t="s">
        <v>89</v>
      </c>
    </row>
    <row r="15" customFormat="false" ht="23.85" hidden="false" customHeight="false" outlineLevel="0" collapsed="false">
      <c r="A15" s="8" t="s">
        <v>177</v>
      </c>
      <c r="B15" s="8" t="s">
        <v>178</v>
      </c>
      <c r="C15" s="8" t="s">
        <v>179</v>
      </c>
      <c r="D15" s="8" t="s">
        <v>151</v>
      </c>
      <c r="E15" s="8" t="s">
        <v>132</v>
      </c>
      <c r="F15" s="8" t="s">
        <v>161</v>
      </c>
      <c r="G15" s="8" t="s">
        <v>89</v>
      </c>
    </row>
    <row r="16" customFormat="false" ht="23.85" hidden="false" customHeight="false" outlineLevel="0" collapsed="false">
      <c r="A16" s="8" t="s">
        <v>180</v>
      </c>
      <c r="B16" s="8" t="s">
        <v>181</v>
      </c>
      <c r="C16" s="8" t="s">
        <v>182</v>
      </c>
      <c r="D16" s="8" t="s">
        <v>183</v>
      </c>
      <c r="E16" s="8" t="s">
        <v>132</v>
      </c>
      <c r="F16" s="8" t="s">
        <v>157</v>
      </c>
      <c r="G16" s="8" t="s">
        <v>89</v>
      </c>
    </row>
    <row r="17" customFormat="false" ht="23.85" hidden="false" customHeight="false" outlineLevel="0" collapsed="false">
      <c r="A17" s="8" t="s">
        <v>184</v>
      </c>
      <c r="B17" s="8" t="s">
        <v>185</v>
      </c>
      <c r="C17" s="8" t="s">
        <v>186</v>
      </c>
      <c r="D17" s="8" t="s">
        <v>187</v>
      </c>
      <c r="E17" s="8" t="s">
        <v>138</v>
      </c>
      <c r="F17" s="8" t="s">
        <v>133</v>
      </c>
      <c r="G17" s="8" t="s">
        <v>89</v>
      </c>
    </row>
    <row r="18" customFormat="false" ht="15" hidden="false" customHeight="false" outlineLevel="0" collapsed="false">
      <c r="A18" s="8" t="s">
        <v>188</v>
      </c>
      <c r="B18" s="8" t="s">
        <v>189</v>
      </c>
      <c r="C18" s="8" t="s">
        <v>190</v>
      </c>
      <c r="D18" s="8" t="s">
        <v>191</v>
      </c>
      <c r="E18" s="8" t="s">
        <v>132</v>
      </c>
      <c r="F18" s="8" t="s">
        <v>133</v>
      </c>
      <c r="G18" s="8" t="s">
        <v>89</v>
      </c>
    </row>
    <row r="19" customFormat="false" ht="23.85" hidden="false" customHeight="false" outlineLevel="0" collapsed="false">
      <c r="A19" s="8" t="s">
        <v>192</v>
      </c>
      <c r="B19" s="8" t="s">
        <v>193</v>
      </c>
      <c r="C19" s="8" t="s">
        <v>194</v>
      </c>
      <c r="D19" s="8" t="s">
        <v>195</v>
      </c>
      <c r="E19" s="8" t="s">
        <v>156</v>
      </c>
      <c r="F19" s="8" t="s">
        <v>196</v>
      </c>
      <c r="G19" s="8" t="s">
        <v>89</v>
      </c>
    </row>
    <row r="20" customFormat="false" ht="15" hidden="false" customHeight="false" outlineLevel="0" collapsed="false">
      <c r="A20" s="8" t="s">
        <v>197</v>
      </c>
      <c r="B20" s="8" t="s">
        <v>198</v>
      </c>
      <c r="C20" s="8" t="s">
        <v>199</v>
      </c>
      <c r="D20" s="8" t="s">
        <v>195</v>
      </c>
      <c r="E20" s="8" t="s">
        <v>132</v>
      </c>
      <c r="F20" s="8" t="s">
        <v>200</v>
      </c>
      <c r="G20" s="8" t="s">
        <v>89</v>
      </c>
    </row>
    <row r="21" customFormat="false" ht="23.85" hidden="false" customHeight="false" outlineLevel="0" collapsed="false">
      <c r="A21" s="8" t="s">
        <v>201</v>
      </c>
      <c r="B21" s="8" t="s">
        <v>202</v>
      </c>
      <c r="C21" s="8" t="s">
        <v>203</v>
      </c>
      <c r="D21" s="8" t="s">
        <v>187</v>
      </c>
      <c r="E21" s="8" t="s">
        <v>204</v>
      </c>
      <c r="F21" s="8" t="s">
        <v>133</v>
      </c>
      <c r="G21" s="8" t="s">
        <v>89</v>
      </c>
    </row>
    <row r="22" customFormat="false" ht="15" hidden="false" customHeight="false" outlineLevel="0" collapsed="false">
      <c r="A22" s="8" t="s">
        <v>205</v>
      </c>
      <c r="B22" s="8" t="s">
        <v>206</v>
      </c>
      <c r="C22" s="8" t="s">
        <v>207</v>
      </c>
      <c r="D22" s="8" t="s">
        <v>208</v>
      </c>
      <c r="E22" s="8" t="s">
        <v>132</v>
      </c>
      <c r="F22" s="8" t="s">
        <v>157</v>
      </c>
      <c r="G22" s="8" t="s">
        <v>89</v>
      </c>
    </row>
    <row r="23" customFormat="false" ht="15" hidden="false" customHeight="false" outlineLevel="0" collapsed="false">
      <c r="A23" s="8" t="s">
        <v>209</v>
      </c>
      <c r="B23" s="8" t="s">
        <v>210</v>
      </c>
      <c r="C23" s="8" t="s">
        <v>211</v>
      </c>
      <c r="D23" s="8" t="s">
        <v>208</v>
      </c>
      <c r="E23" s="8" t="s">
        <v>132</v>
      </c>
      <c r="F23" s="8" t="s">
        <v>172</v>
      </c>
      <c r="G23" s="8" t="s">
        <v>89</v>
      </c>
    </row>
    <row r="24" customFormat="false" ht="15" hidden="false" customHeight="false" outlineLevel="0" collapsed="false">
      <c r="A24" s="8" t="s">
        <v>212</v>
      </c>
      <c r="B24" s="8" t="s">
        <v>213</v>
      </c>
      <c r="C24" s="8" t="s">
        <v>214</v>
      </c>
      <c r="D24" s="8" t="s">
        <v>187</v>
      </c>
      <c r="E24" s="8" t="s">
        <v>156</v>
      </c>
      <c r="F24" s="8" t="s">
        <v>215</v>
      </c>
      <c r="G24" s="8" t="s">
        <v>89</v>
      </c>
    </row>
    <row r="25" customFormat="false" ht="23.85" hidden="false" customHeight="false" outlineLevel="0" collapsed="false">
      <c r="A25" s="8" t="s">
        <v>216</v>
      </c>
      <c r="B25" s="8" t="s">
        <v>217</v>
      </c>
      <c r="C25" s="8" t="s">
        <v>218</v>
      </c>
      <c r="D25" s="8" t="s">
        <v>219</v>
      </c>
      <c r="E25" s="8" t="s">
        <v>132</v>
      </c>
      <c r="F25" s="8" t="s">
        <v>220</v>
      </c>
      <c r="G25" s="8" t="s">
        <v>89</v>
      </c>
    </row>
    <row r="26" customFormat="false" ht="23.85" hidden="false" customHeight="false" outlineLevel="0" collapsed="false">
      <c r="A26" s="8" t="s">
        <v>221</v>
      </c>
      <c r="B26" s="8" t="s">
        <v>222</v>
      </c>
      <c r="C26" s="8" t="s">
        <v>223</v>
      </c>
      <c r="D26" s="8" t="s">
        <v>151</v>
      </c>
      <c r="E26" s="8" t="s">
        <v>156</v>
      </c>
      <c r="F26" s="8" t="s">
        <v>224</v>
      </c>
      <c r="G26" s="8" t="s">
        <v>89</v>
      </c>
    </row>
    <row r="27" customFormat="false" ht="15" hidden="false" customHeight="false" outlineLevel="0" collapsed="false">
      <c r="A27" s="8" t="s">
        <v>225</v>
      </c>
      <c r="B27" s="8" t="s">
        <v>226</v>
      </c>
      <c r="C27" s="8" t="s">
        <v>227</v>
      </c>
      <c r="D27" s="8" t="s">
        <v>228</v>
      </c>
      <c r="E27" s="8" t="s">
        <v>156</v>
      </c>
      <c r="F27" s="8" t="s">
        <v>157</v>
      </c>
      <c r="G27" s="8" t="s">
        <v>89</v>
      </c>
    </row>
    <row r="28" customFormat="false" ht="15" hidden="false" customHeight="false" outlineLevel="0" collapsed="false">
      <c r="A28" s="8" t="s">
        <v>229</v>
      </c>
      <c r="B28" s="8" t="s">
        <v>230</v>
      </c>
      <c r="C28" s="8" t="s">
        <v>231</v>
      </c>
      <c r="D28" s="8" t="s">
        <v>151</v>
      </c>
      <c r="E28" s="8" t="s">
        <v>204</v>
      </c>
      <c r="F28" s="8" t="s">
        <v>133</v>
      </c>
      <c r="G28" s="8" t="s">
        <v>89</v>
      </c>
    </row>
    <row r="29" customFormat="false" ht="23.85" hidden="false" customHeight="false" outlineLevel="0" collapsed="false">
      <c r="A29" s="8" t="s">
        <v>232</v>
      </c>
      <c r="B29" s="8" t="s">
        <v>233</v>
      </c>
      <c r="C29" s="8" t="s">
        <v>234</v>
      </c>
      <c r="D29" s="8" t="s">
        <v>235</v>
      </c>
      <c r="E29" s="8" t="s">
        <v>156</v>
      </c>
      <c r="F29" s="8" t="s">
        <v>157</v>
      </c>
      <c r="G29" s="8" t="s">
        <v>89</v>
      </c>
    </row>
    <row r="30" customFormat="false" ht="23.85" hidden="false" customHeight="false" outlineLevel="0" collapsed="false">
      <c r="A30" s="8" t="s">
        <v>236</v>
      </c>
      <c r="B30" s="8" t="s">
        <v>237</v>
      </c>
      <c r="C30" s="8" t="s">
        <v>238</v>
      </c>
      <c r="D30" s="8" t="s">
        <v>151</v>
      </c>
      <c r="E30" s="8" t="s">
        <v>156</v>
      </c>
      <c r="F30" s="8" t="s">
        <v>224</v>
      </c>
      <c r="G30" s="8" t="s">
        <v>89</v>
      </c>
    </row>
    <row r="31" customFormat="false" ht="23.85" hidden="false" customHeight="false" outlineLevel="0" collapsed="false">
      <c r="A31" s="8" t="s">
        <v>239</v>
      </c>
      <c r="B31" s="8" t="s">
        <v>240</v>
      </c>
      <c r="C31" s="8" t="s">
        <v>241</v>
      </c>
      <c r="D31" s="8" t="s">
        <v>187</v>
      </c>
      <c r="E31" s="8" t="s">
        <v>156</v>
      </c>
      <c r="F31" s="8" t="s">
        <v>242</v>
      </c>
      <c r="G31" s="8" t="s">
        <v>89</v>
      </c>
    </row>
    <row r="32" customFormat="false" ht="15" hidden="false" customHeight="false" outlineLevel="0" collapsed="false">
      <c r="A32" s="8" t="s">
        <v>243</v>
      </c>
      <c r="B32" s="8" t="s">
        <v>244</v>
      </c>
      <c r="C32" s="8" t="s">
        <v>245</v>
      </c>
      <c r="D32" s="8" t="s">
        <v>246</v>
      </c>
      <c r="E32" s="8" t="s">
        <v>204</v>
      </c>
      <c r="F32" s="8" t="s">
        <v>157</v>
      </c>
      <c r="G32" s="8" t="s">
        <v>89</v>
      </c>
    </row>
    <row r="33" customFormat="false" ht="15" hidden="false" customHeight="false" outlineLevel="0" collapsed="false">
      <c r="A33" s="8" t="s">
        <v>247</v>
      </c>
      <c r="B33" s="8" t="s">
        <v>248</v>
      </c>
      <c r="C33" s="8" t="s">
        <v>249</v>
      </c>
      <c r="D33" s="8" t="s">
        <v>151</v>
      </c>
      <c r="E33" s="8" t="s">
        <v>156</v>
      </c>
      <c r="F33" s="8" t="s">
        <v>133</v>
      </c>
      <c r="G33" s="8" t="s">
        <v>89</v>
      </c>
    </row>
  </sheetData>
  <autoFilter ref="A3:G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4" min="3" style="0" width="38"/>
    <col collapsed="false" customWidth="true" hidden="false" outlineLevel="0" max="5" min="5" style="0" width="48"/>
    <col collapsed="false" customWidth="true" hidden="false" outlineLevel="0" max="6" min="6" style="0" width="4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250</v>
      </c>
    </row>
    <row r="2" customFormat="false" ht="15" hidden="false" customHeight="false" outlineLevel="0" collapsed="false">
      <c r="A2" s="6" t="s">
        <v>51</v>
      </c>
    </row>
    <row r="3" customFormat="false" ht="15" hidden="false" customHeight="false" outlineLevel="0" collapsed="false">
      <c r="A3" s="7" t="s">
        <v>251</v>
      </c>
      <c r="B3" s="7" t="s">
        <v>252</v>
      </c>
      <c r="C3" s="7" t="s">
        <v>253</v>
      </c>
      <c r="D3" s="7" t="s">
        <v>254</v>
      </c>
      <c r="E3" s="7" t="s">
        <v>255</v>
      </c>
      <c r="F3" s="7" t="s">
        <v>256</v>
      </c>
      <c r="G3" s="7" t="s">
        <v>57</v>
      </c>
    </row>
    <row r="4" customFormat="false" ht="23.85" hidden="false" customHeight="false" outlineLevel="0" collapsed="false">
      <c r="A4" s="8" t="s">
        <v>257</v>
      </c>
      <c r="B4" s="8" t="s">
        <v>258</v>
      </c>
      <c r="C4" s="8" t="s">
        <v>259</v>
      </c>
      <c r="D4" s="8" t="s">
        <v>260</v>
      </c>
      <c r="E4" s="8" t="s">
        <v>261</v>
      </c>
      <c r="F4" s="8" t="s">
        <v>262</v>
      </c>
      <c r="G4" s="8" t="s">
        <v>115</v>
      </c>
    </row>
    <row r="5" customFormat="false" ht="15" hidden="false" customHeight="false" outlineLevel="0" collapsed="false">
      <c r="A5" s="8" t="s">
        <v>257</v>
      </c>
      <c r="B5" s="8" t="s">
        <v>263</v>
      </c>
      <c r="C5" s="8" t="s">
        <v>264</v>
      </c>
      <c r="D5" s="8" t="s">
        <v>265</v>
      </c>
      <c r="E5" s="8" t="s">
        <v>266</v>
      </c>
      <c r="F5" s="8" t="s">
        <v>267</v>
      </c>
      <c r="G5" s="8" t="s">
        <v>115</v>
      </c>
    </row>
    <row r="6" customFormat="false" ht="15" hidden="false" customHeight="false" outlineLevel="0" collapsed="false">
      <c r="A6" s="8" t="s">
        <v>257</v>
      </c>
      <c r="B6" s="8" t="s">
        <v>268</v>
      </c>
      <c r="C6" s="8" t="s">
        <v>269</v>
      </c>
      <c r="D6" s="8" t="s">
        <v>270</v>
      </c>
      <c r="E6" s="8" t="s">
        <v>271</v>
      </c>
      <c r="F6" s="8" t="s">
        <v>272</v>
      </c>
      <c r="G6" s="8" t="s">
        <v>115</v>
      </c>
    </row>
    <row r="7" customFormat="false" ht="15" hidden="false" customHeight="false" outlineLevel="0" collapsed="false">
      <c r="A7" s="8" t="s">
        <v>257</v>
      </c>
      <c r="B7" s="8" t="s">
        <v>273</v>
      </c>
      <c r="C7" s="8" t="s">
        <v>274</v>
      </c>
      <c r="D7" s="8" t="s">
        <v>275</v>
      </c>
      <c r="E7" s="8" t="s">
        <v>276</v>
      </c>
      <c r="F7" s="8" t="s">
        <v>277</v>
      </c>
      <c r="G7" s="8" t="s">
        <v>115</v>
      </c>
    </row>
    <row r="8" customFormat="false" ht="15" hidden="false" customHeight="false" outlineLevel="0" collapsed="false">
      <c r="A8" s="8" t="s">
        <v>257</v>
      </c>
      <c r="B8" s="8" t="s">
        <v>278</v>
      </c>
      <c r="C8" s="8" t="s">
        <v>279</v>
      </c>
      <c r="D8" s="8" t="s">
        <v>280</v>
      </c>
      <c r="E8" s="8" t="s">
        <v>281</v>
      </c>
      <c r="F8" s="8" t="s">
        <v>282</v>
      </c>
      <c r="G8" s="8" t="s">
        <v>115</v>
      </c>
    </row>
    <row r="9" customFormat="false" ht="35.05" hidden="false" customHeight="false" outlineLevel="0" collapsed="false">
      <c r="A9" s="8" t="s">
        <v>257</v>
      </c>
      <c r="B9" s="8" t="s">
        <v>283</v>
      </c>
      <c r="C9" s="8" t="s">
        <v>284</v>
      </c>
      <c r="D9" s="8" t="s">
        <v>285</v>
      </c>
      <c r="E9" s="8" t="s">
        <v>286</v>
      </c>
      <c r="F9" s="8" t="s">
        <v>287</v>
      </c>
      <c r="G9" s="8" t="s">
        <v>115</v>
      </c>
    </row>
    <row r="10" customFormat="false" ht="23.85" hidden="false" customHeight="false" outlineLevel="0" collapsed="false">
      <c r="A10" s="8" t="s">
        <v>257</v>
      </c>
      <c r="B10" s="8" t="s">
        <v>288</v>
      </c>
      <c r="C10" s="8" t="s">
        <v>289</v>
      </c>
      <c r="D10" s="8" t="s">
        <v>290</v>
      </c>
      <c r="E10" s="8" t="s">
        <v>291</v>
      </c>
      <c r="F10" s="8" t="s">
        <v>292</v>
      </c>
      <c r="G10" s="8" t="s">
        <v>115</v>
      </c>
    </row>
    <row r="11" customFormat="false" ht="15" hidden="false" customHeight="false" outlineLevel="0" collapsed="false">
      <c r="A11" s="8" t="s">
        <v>293</v>
      </c>
      <c r="B11" s="8" t="s">
        <v>294</v>
      </c>
      <c r="C11" s="8" t="s">
        <v>295</v>
      </c>
      <c r="D11" s="8" t="s">
        <v>296</v>
      </c>
      <c r="E11" s="8" t="s">
        <v>297</v>
      </c>
      <c r="F11" s="8" t="s">
        <v>298</v>
      </c>
      <c r="G11" s="8" t="s">
        <v>115</v>
      </c>
    </row>
    <row r="12" customFormat="false" ht="15" hidden="false" customHeight="false" outlineLevel="0" collapsed="false">
      <c r="A12" s="8" t="s">
        <v>293</v>
      </c>
      <c r="B12" s="8" t="s">
        <v>299</v>
      </c>
      <c r="C12" s="8" t="s">
        <v>300</v>
      </c>
      <c r="D12" s="8" t="s">
        <v>151</v>
      </c>
      <c r="E12" s="8" t="s">
        <v>301</v>
      </c>
      <c r="F12" s="8" t="s">
        <v>302</v>
      </c>
      <c r="G12" s="8" t="s">
        <v>115</v>
      </c>
    </row>
    <row r="13" customFormat="false" ht="15" hidden="false" customHeight="false" outlineLevel="0" collapsed="false">
      <c r="A13" s="8" t="s">
        <v>293</v>
      </c>
      <c r="B13" s="8" t="s">
        <v>303</v>
      </c>
      <c r="C13" s="8" t="s">
        <v>304</v>
      </c>
      <c r="D13" s="8" t="s">
        <v>305</v>
      </c>
      <c r="E13" s="8" t="s">
        <v>306</v>
      </c>
      <c r="F13" s="8" t="s">
        <v>307</v>
      </c>
      <c r="G13" s="8" t="s">
        <v>115</v>
      </c>
    </row>
    <row r="14" customFormat="false" ht="23.85" hidden="false" customHeight="false" outlineLevel="0" collapsed="false">
      <c r="A14" s="8" t="s">
        <v>293</v>
      </c>
      <c r="B14" s="8" t="s">
        <v>308</v>
      </c>
      <c r="C14" s="8" t="s">
        <v>309</v>
      </c>
      <c r="D14" s="8" t="s">
        <v>310</v>
      </c>
      <c r="E14" s="8" t="s">
        <v>311</v>
      </c>
      <c r="F14" s="8" t="s">
        <v>312</v>
      </c>
      <c r="G14" s="8" t="s">
        <v>115</v>
      </c>
    </row>
    <row r="15" customFormat="false" ht="15" hidden="false" customHeight="false" outlineLevel="0" collapsed="false">
      <c r="A15" s="8" t="s">
        <v>293</v>
      </c>
      <c r="B15" s="8" t="s">
        <v>313</v>
      </c>
      <c r="C15" s="8" t="s">
        <v>314</v>
      </c>
      <c r="D15" s="8" t="s">
        <v>315</v>
      </c>
      <c r="E15" s="8" t="s">
        <v>316</v>
      </c>
      <c r="F15" s="8" t="s">
        <v>317</v>
      </c>
      <c r="G15" s="8" t="s">
        <v>115</v>
      </c>
    </row>
    <row r="16" customFormat="false" ht="15" hidden="false" customHeight="false" outlineLevel="0" collapsed="false">
      <c r="A16" s="8" t="s">
        <v>318</v>
      </c>
      <c r="B16" s="8" t="s">
        <v>319</v>
      </c>
      <c r="C16" s="8" t="s">
        <v>320</v>
      </c>
      <c r="D16" s="8" t="s">
        <v>321</v>
      </c>
      <c r="E16" s="8" t="s">
        <v>322</v>
      </c>
      <c r="F16" s="8" t="s">
        <v>323</v>
      </c>
      <c r="G16" s="8" t="s">
        <v>89</v>
      </c>
    </row>
    <row r="17" customFormat="false" ht="23.85" hidden="false" customHeight="false" outlineLevel="0" collapsed="false">
      <c r="A17" s="8" t="s">
        <v>324</v>
      </c>
      <c r="B17" s="8" t="s">
        <v>325</v>
      </c>
      <c r="C17" s="8" t="s">
        <v>326</v>
      </c>
      <c r="D17" s="8" t="s">
        <v>327</v>
      </c>
      <c r="E17" s="8" t="s">
        <v>328</v>
      </c>
      <c r="F17" s="8" t="s">
        <v>329</v>
      </c>
      <c r="G17" s="8" t="s">
        <v>89</v>
      </c>
    </row>
    <row r="18" customFormat="false" ht="23.85" hidden="false" customHeight="false" outlineLevel="0" collapsed="false">
      <c r="A18" s="8" t="s">
        <v>330</v>
      </c>
      <c r="B18" s="8" t="s">
        <v>331</v>
      </c>
      <c r="C18" s="8" t="s">
        <v>332</v>
      </c>
      <c r="D18" s="8" t="s">
        <v>333</v>
      </c>
      <c r="E18" s="8" t="s">
        <v>334</v>
      </c>
      <c r="F18" s="8" t="s">
        <v>335</v>
      </c>
      <c r="G18" s="8" t="s">
        <v>115</v>
      </c>
    </row>
    <row r="19" customFormat="false" ht="15" hidden="false" customHeight="false" outlineLevel="0" collapsed="false">
      <c r="A19" s="8" t="s">
        <v>330</v>
      </c>
      <c r="B19" s="8" t="s">
        <v>336</v>
      </c>
      <c r="C19" s="8" t="s">
        <v>151</v>
      </c>
      <c r="D19" s="8" t="s">
        <v>337</v>
      </c>
      <c r="E19" s="8" t="s">
        <v>338</v>
      </c>
      <c r="F19" s="8" t="s">
        <v>339</v>
      </c>
      <c r="G19" s="8" t="s">
        <v>115</v>
      </c>
    </row>
    <row r="20" customFormat="false" ht="23.85" hidden="false" customHeight="false" outlineLevel="0" collapsed="false">
      <c r="A20" s="8" t="s">
        <v>330</v>
      </c>
      <c r="B20" s="8" t="s">
        <v>340</v>
      </c>
      <c r="C20" s="8" t="s">
        <v>341</v>
      </c>
      <c r="D20" s="8" t="s">
        <v>342</v>
      </c>
      <c r="E20" s="8" t="s">
        <v>343</v>
      </c>
      <c r="F20" s="8" t="s">
        <v>344</v>
      </c>
      <c r="G20" s="8" t="s">
        <v>115</v>
      </c>
    </row>
    <row r="21" customFormat="false" ht="15" hidden="false" customHeight="false" outlineLevel="0" collapsed="false">
      <c r="A21" s="8" t="s">
        <v>345</v>
      </c>
      <c r="B21" s="8" t="s">
        <v>346</v>
      </c>
      <c r="C21" s="8" t="s">
        <v>347</v>
      </c>
      <c r="D21" s="8" t="s">
        <v>348</v>
      </c>
      <c r="E21" s="8" t="s">
        <v>349</v>
      </c>
      <c r="F21" s="8" t="s">
        <v>350</v>
      </c>
      <c r="G21" s="8" t="s">
        <v>115</v>
      </c>
    </row>
    <row r="22" customFormat="false" ht="15" hidden="false" customHeight="false" outlineLevel="0" collapsed="false">
      <c r="A22" s="8" t="s">
        <v>345</v>
      </c>
      <c r="B22" s="8" t="s">
        <v>351</v>
      </c>
      <c r="C22" s="8" t="s">
        <v>352</v>
      </c>
      <c r="D22" s="8" t="s">
        <v>353</v>
      </c>
      <c r="E22" s="8" t="s">
        <v>354</v>
      </c>
      <c r="F22" s="8" t="s">
        <v>355</v>
      </c>
      <c r="G22" s="8" t="s">
        <v>115</v>
      </c>
    </row>
    <row r="23" customFormat="false" ht="15" hidden="false" customHeight="false" outlineLevel="0" collapsed="false">
      <c r="A23" s="8" t="s">
        <v>345</v>
      </c>
      <c r="B23" s="8" t="s">
        <v>356</v>
      </c>
      <c r="C23" s="8" t="s">
        <v>357</v>
      </c>
      <c r="D23" s="8" t="s">
        <v>358</v>
      </c>
      <c r="E23" s="8" t="s">
        <v>359</v>
      </c>
      <c r="F23" s="8" t="s">
        <v>360</v>
      </c>
      <c r="G23" s="8" t="s">
        <v>115</v>
      </c>
    </row>
    <row r="24" customFormat="false" ht="15" hidden="false" customHeight="false" outlineLevel="0" collapsed="false">
      <c r="A24" s="8" t="s">
        <v>345</v>
      </c>
      <c r="B24" s="8" t="s">
        <v>361</v>
      </c>
      <c r="C24" s="8" t="s">
        <v>362</v>
      </c>
      <c r="D24" s="8" t="s">
        <v>363</v>
      </c>
      <c r="E24" s="8" t="s">
        <v>364</v>
      </c>
      <c r="F24" s="8" t="s">
        <v>365</v>
      </c>
      <c r="G24" s="8" t="s">
        <v>115</v>
      </c>
    </row>
    <row r="25" customFormat="false" ht="15" hidden="false" customHeight="false" outlineLevel="0" collapsed="false">
      <c r="A25" s="8" t="s">
        <v>345</v>
      </c>
      <c r="B25" s="8" t="s">
        <v>366</v>
      </c>
      <c r="C25" s="8" t="s">
        <v>367</v>
      </c>
      <c r="D25" s="8" t="s">
        <v>368</v>
      </c>
      <c r="E25" s="8" t="s">
        <v>369</v>
      </c>
      <c r="F25" s="8" t="s">
        <v>370</v>
      </c>
      <c r="G25" s="8" t="s">
        <v>115</v>
      </c>
    </row>
    <row r="26" customFormat="false" ht="15" hidden="false" customHeight="false" outlineLevel="0" collapsed="false">
      <c r="A26" s="8" t="s">
        <v>345</v>
      </c>
      <c r="B26" s="8" t="s">
        <v>371</v>
      </c>
      <c r="C26" s="8" t="s">
        <v>372</v>
      </c>
      <c r="D26" s="8" t="s">
        <v>151</v>
      </c>
      <c r="E26" s="8" t="s">
        <v>373</v>
      </c>
      <c r="F26" s="8" t="s">
        <v>374</v>
      </c>
      <c r="G26" s="8" t="s">
        <v>115</v>
      </c>
    </row>
    <row r="27" customFormat="false" ht="15" hidden="false" customHeight="false" outlineLevel="0" collapsed="false">
      <c r="A27" s="8" t="s">
        <v>375</v>
      </c>
      <c r="B27" s="8" t="s">
        <v>376</v>
      </c>
      <c r="C27" s="8" t="s">
        <v>377</v>
      </c>
      <c r="D27" s="8" t="s">
        <v>378</v>
      </c>
      <c r="E27" s="8" t="s">
        <v>379</v>
      </c>
      <c r="F27" s="8" t="s">
        <v>380</v>
      </c>
      <c r="G27" s="8" t="s">
        <v>115</v>
      </c>
    </row>
    <row r="28" customFormat="false" ht="15" hidden="false" customHeight="false" outlineLevel="0" collapsed="false">
      <c r="A28" s="8" t="s">
        <v>375</v>
      </c>
      <c r="B28" s="8" t="s">
        <v>381</v>
      </c>
      <c r="C28" s="8" t="s">
        <v>382</v>
      </c>
      <c r="D28" s="8" t="s">
        <v>383</v>
      </c>
      <c r="E28" s="8" t="s">
        <v>384</v>
      </c>
      <c r="F28" s="8" t="s">
        <v>385</v>
      </c>
      <c r="G28" s="8" t="s">
        <v>115</v>
      </c>
    </row>
    <row r="29" customFormat="false" ht="23.85" hidden="false" customHeight="false" outlineLevel="0" collapsed="false">
      <c r="A29" s="8" t="s">
        <v>386</v>
      </c>
      <c r="B29" s="8" t="s">
        <v>387</v>
      </c>
      <c r="C29" s="8" t="s">
        <v>388</v>
      </c>
      <c r="D29" s="8" t="s">
        <v>389</v>
      </c>
      <c r="E29" s="8" t="s">
        <v>390</v>
      </c>
      <c r="F29" s="8" t="s">
        <v>391</v>
      </c>
      <c r="G29" s="8" t="s">
        <v>115</v>
      </c>
    </row>
    <row r="30" customFormat="false" ht="15" hidden="false" customHeight="false" outlineLevel="0" collapsed="false">
      <c r="A30" s="8" t="s">
        <v>386</v>
      </c>
      <c r="B30" s="8" t="s">
        <v>392</v>
      </c>
      <c r="C30" s="8" t="s">
        <v>393</v>
      </c>
      <c r="D30" s="8" t="s">
        <v>394</v>
      </c>
      <c r="E30" s="8" t="s">
        <v>395</v>
      </c>
      <c r="F30" s="8" t="s">
        <v>396</v>
      </c>
      <c r="G30" s="8" t="s">
        <v>89</v>
      </c>
    </row>
    <row r="31" customFormat="false" ht="15" hidden="false" customHeight="false" outlineLevel="0" collapsed="false">
      <c r="A31" s="8" t="s">
        <v>397</v>
      </c>
      <c r="B31" s="8" t="s">
        <v>398</v>
      </c>
      <c r="C31" s="8" t="s">
        <v>399</v>
      </c>
      <c r="D31" s="8" t="s">
        <v>400</v>
      </c>
      <c r="E31" s="8" t="s">
        <v>401</v>
      </c>
      <c r="F31" s="8" t="s">
        <v>402</v>
      </c>
      <c r="G31" s="8" t="s">
        <v>115</v>
      </c>
    </row>
    <row r="32" customFormat="false" ht="35.05" hidden="false" customHeight="false" outlineLevel="0" collapsed="false">
      <c r="A32" s="8" t="s">
        <v>397</v>
      </c>
      <c r="B32" s="8" t="s">
        <v>403</v>
      </c>
      <c r="C32" s="8" t="s">
        <v>341</v>
      </c>
      <c r="D32" s="8" t="s">
        <v>404</v>
      </c>
      <c r="E32" s="8" t="s">
        <v>405</v>
      </c>
      <c r="F32" s="8" t="s">
        <v>406</v>
      </c>
      <c r="G32" s="8" t="s">
        <v>115</v>
      </c>
    </row>
    <row r="33" customFormat="false" ht="15" hidden="false" customHeight="false" outlineLevel="0" collapsed="false">
      <c r="A33" s="8" t="s">
        <v>407</v>
      </c>
      <c r="B33" s="8" t="s">
        <v>408</v>
      </c>
      <c r="C33" s="8" t="s">
        <v>409</v>
      </c>
      <c r="D33" s="8" t="s">
        <v>151</v>
      </c>
      <c r="E33" s="8" t="s">
        <v>410</v>
      </c>
      <c r="F33" s="8" t="s">
        <v>411</v>
      </c>
      <c r="G33" s="8" t="s">
        <v>115</v>
      </c>
    </row>
    <row r="34" customFormat="false" ht="15" hidden="false" customHeight="false" outlineLevel="0" collapsed="false">
      <c r="A34" s="8" t="s">
        <v>407</v>
      </c>
      <c r="B34" s="8" t="s">
        <v>412</v>
      </c>
      <c r="C34" s="8" t="s">
        <v>413</v>
      </c>
      <c r="D34" s="8" t="s">
        <v>414</v>
      </c>
      <c r="E34" s="8" t="s">
        <v>415</v>
      </c>
      <c r="F34" s="8" t="s">
        <v>416</v>
      </c>
      <c r="G34" s="8" t="s">
        <v>89</v>
      </c>
    </row>
  </sheetData>
  <autoFilter ref="A3:G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4" min="3" style="0" width="34"/>
    <col collapsed="false" customWidth="true" hidden="false" outlineLevel="0" max="5" min="5" style="0" width="26"/>
    <col collapsed="false" customWidth="true" hidden="false" outlineLevel="0" max="6" min="6" style="0" width="44"/>
    <col collapsed="false" customWidth="true" hidden="false" outlineLevel="0" max="7" min="7" style="0" width="34"/>
    <col collapsed="false" customWidth="true" hidden="false" outlineLevel="0" max="8" min="8" style="0" width="16"/>
    <col collapsed="false" customWidth="true" hidden="false" outlineLevel="0" max="9" min="9" style="0" width="36"/>
    <col collapsed="false" customWidth="true" hidden="false" outlineLevel="0" max="10" min="10" style="0" width="14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1" t="s">
        <v>417</v>
      </c>
    </row>
    <row r="2" customFormat="false" ht="15" hidden="false" customHeight="false" outlineLevel="0" collapsed="false">
      <c r="A2" s="6" t="s">
        <v>51</v>
      </c>
    </row>
    <row r="3" customFormat="false" ht="15" hidden="false" customHeight="false" outlineLevel="0" collapsed="false">
      <c r="A3" s="7" t="s">
        <v>251</v>
      </c>
      <c r="B3" s="7" t="s">
        <v>252</v>
      </c>
      <c r="C3" s="7" t="s">
        <v>253</v>
      </c>
      <c r="D3" s="7" t="s">
        <v>418</v>
      </c>
      <c r="E3" s="7" t="s">
        <v>419</v>
      </c>
      <c r="F3" s="7" t="s">
        <v>255</v>
      </c>
      <c r="G3" s="7" t="s">
        <v>420</v>
      </c>
      <c r="H3" s="7" t="s">
        <v>54</v>
      </c>
      <c r="I3" s="7" t="s">
        <v>256</v>
      </c>
      <c r="J3" s="7" t="s">
        <v>57</v>
      </c>
      <c r="K3" s="7" t="s">
        <v>421</v>
      </c>
    </row>
    <row r="4" customFormat="false" ht="23.85" hidden="false" customHeight="false" outlineLevel="0" collapsed="false">
      <c r="A4" s="8" t="s">
        <v>257</v>
      </c>
      <c r="B4" s="8" t="s">
        <v>258</v>
      </c>
      <c r="C4" s="8" t="s">
        <v>259</v>
      </c>
      <c r="D4" s="8" t="s">
        <v>260</v>
      </c>
      <c r="E4" s="8" t="s">
        <v>422</v>
      </c>
      <c r="F4" s="8" t="s">
        <v>261</v>
      </c>
      <c r="G4" s="8" t="s">
        <v>423</v>
      </c>
      <c r="H4" s="8" t="s">
        <v>424</v>
      </c>
      <c r="I4" s="8" t="s">
        <v>262</v>
      </c>
      <c r="J4" s="8" t="s">
        <v>115</v>
      </c>
      <c r="K4" s="8" t="s">
        <v>138</v>
      </c>
    </row>
    <row r="5" customFormat="false" ht="23.85" hidden="false" customHeight="false" outlineLevel="0" collapsed="false">
      <c r="A5" s="8" t="s">
        <v>257</v>
      </c>
      <c r="B5" s="8" t="s">
        <v>263</v>
      </c>
      <c r="C5" s="8" t="s">
        <v>264</v>
      </c>
      <c r="D5" s="8" t="s">
        <v>265</v>
      </c>
      <c r="E5" s="8" t="s">
        <v>425</v>
      </c>
      <c r="F5" s="8" t="s">
        <v>266</v>
      </c>
      <c r="G5" s="8" t="s">
        <v>426</v>
      </c>
      <c r="H5" s="8" t="s">
        <v>424</v>
      </c>
      <c r="I5" s="8" t="s">
        <v>267</v>
      </c>
      <c r="J5" s="8" t="s">
        <v>115</v>
      </c>
      <c r="K5" s="8" t="s">
        <v>132</v>
      </c>
    </row>
    <row r="6" customFormat="false" ht="15" hidden="false" customHeight="false" outlineLevel="0" collapsed="false">
      <c r="A6" s="8" t="s">
        <v>257</v>
      </c>
      <c r="B6" s="8" t="s">
        <v>268</v>
      </c>
      <c r="C6" s="8" t="s">
        <v>269</v>
      </c>
      <c r="D6" s="8" t="s">
        <v>270</v>
      </c>
      <c r="E6" s="8" t="s">
        <v>427</v>
      </c>
      <c r="F6" s="8" t="s">
        <v>271</v>
      </c>
      <c r="G6" s="8" t="s">
        <v>428</v>
      </c>
      <c r="H6" s="8" t="s">
        <v>424</v>
      </c>
      <c r="I6" s="8" t="s">
        <v>272</v>
      </c>
      <c r="J6" s="8" t="s">
        <v>115</v>
      </c>
      <c r="K6" s="8" t="s">
        <v>138</v>
      </c>
    </row>
    <row r="7" customFormat="false" ht="15" hidden="false" customHeight="false" outlineLevel="0" collapsed="false">
      <c r="A7" s="8" t="s">
        <v>257</v>
      </c>
      <c r="B7" s="8" t="s">
        <v>273</v>
      </c>
      <c r="C7" s="8" t="s">
        <v>274</v>
      </c>
      <c r="D7" s="8" t="s">
        <v>275</v>
      </c>
      <c r="E7" s="8" t="s">
        <v>429</v>
      </c>
      <c r="F7" s="8" t="s">
        <v>276</v>
      </c>
      <c r="G7" s="8" t="s">
        <v>430</v>
      </c>
      <c r="H7" s="8" t="s">
        <v>431</v>
      </c>
      <c r="I7" s="8" t="s">
        <v>277</v>
      </c>
      <c r="J7" s="8" t="s">
        <v>115</v>
      </c>
      <c r="K7" s="8" t="s">
        <v>204</v>
      </c>
    </row>
    <row r="8" customFormat="false" ht="23.85" hidden="false" customHeight="false" outlineLevel="0" collapsed="false">
      <c r="A8" s="8" t="s">
        <v>257</v>
      </c>
      <c r="B8" s="8" t="s">
        <v>278</v>
      </c>
      <c r="C8" s="8" t="s">
        <v>279</v>
      </c>
      <c r="D8" s="8" t="s">
        <v>280</v>
      </c>
      <c r="E8" s="8" t="s">
        <v>432</v>
      </c>
      <c r="F8" s="8" t="s">
        <v>281</v>
      </c>
      <c r="G8" s="8" t="s">
        <v>433</v>
      </c>
      <c r="H8" s="8" t="s">
        <v>434</v>
      </c>
      <c r="I8" s="8" t="s">
        <v>282</v>
      </c>
      <c r="J8" s="8" t="s">
        <v>115</v>
      </c>
      <c r="K8" s="8" t="s">
        <v>132</v>
      </c>
    </row>
    <row r="9" customFormat="false" ht="35.05" hidden="false" customHeight="false" outlineLevel="0" collapsed="false">
      <c r="A9" s="8" t="s">
        <v>257</v>
      </c>
      <c r="B9" s="8" t="s">
        <v>283</v>
      </c>
      <c r="C9" s="8" t="s">
        <v>284</v>
      </c>
      <c r="D9" s="8" t="s">
        <v>285</v>
      </c>
      <c r="E9" s="8" t="s">
        <v>435</v>
      </c>
      <c r="F9" s="8" t="s">
        <v>286</v>
      </c>
      <c r="G9" s="8" t="s">
        <v>436</v>
      </c>
      <c r="H9" s="8" t="s">
        <v>424</v>
      </c>
      <c r="I9" s="8" t="s">
        <v>287</v>
      </c>
      <c r="J9" s="8" t="s">
        <v>115</v>
      </c>
      <c r="K9" s="8" t="s">
        <v>132</v>
      </c>
    </row>
    <row r="10" customFormat="false" ht="23.85" hidden="false" customHeight="false" outlineLevel="0" collapsed="false">
      <c r="A10" s="8" t="s">
        <v>257</v>
      </c>
      <c r="B10" s="8" t="s">
        <v>288</v>
      </c>
      <c r="C10" s="8" t="s">
        <v>289</v>
      </c>
      <c r="D10" s="8" t="s">
        <v>290</v>
      </c>
      <c r="E10" s="8" t="s">
        <v>437</v>
      </c>
      <c r="F10" s="8" t="s">
        <v>291</v>
      </c>
      <c r="G10" s="8" t="s">
        <v>438</v>
      </c>
      <c r="H10" s="8" t="s">
        <v>424</v>
      </c>
      <c r="I10" s="8" t="s">
        <v>292</v>
      </c>
      <c r="J10" s="8" t="s">
        <v>115</v>
      </c>
      <c r="K10" s="8" t="s">
        <v>156</v>
      </c>
    </row>
    <row r="11" customFormat="false" ht="15" hidden="false" customHeight="false" outlineLevel="0" collapsed="false">
      <c r="A11" s="8" t="s">
        <v>293</v>
      </c>
      <c r="B11" s="8" t="s">
        <v>294</v>
      </c>
      <c r="C11" s="8" t="s">
        <v>295</v>
      </c>
      <c r="D11" s="8" t="s">
        <v>296</v>
      </c>
      <c r="E11" s="8" t="s">
        <v>439</v>
      </c>
      <c r="F11" s="8" t="s">
        <v>297</v>
      </c>
      <c r="G11" s="8" t="s">
        <v>440</v>
      </c>
      <c r="H11" s="8" t="s">
        <v>431</v>
      </c>
      <c r="I11" s="8" t="s">
        <v>298</v>
      </c>
      <c r="J11" s="8" t="s">
        <v>115</v>
      </c>
      <c r="K11" s="8" t="s">
        <v>132</v>
      </c>
    </row>
    <row r="12" customFormat="false" ht="15" hidden="false" customHeight="false" outlineLevel="0" collapsed="false">
      <c r="A12" s="8" t="s">
        <v>293</v>
      </c>
      <c r="B12" s="8" t="s">
        <v>299</v>
      </c>
      <c r="C12" s="8" t="s">
        <v>300</v>
      </c>
      <c r="D12" s="8" t="s">
        <v>151</v>
      </c>
      <c r="E12" s="8" t="s">
        <v>441</v>
      </c>
      <c r="F12" s="8" t="s">
        <v>301</v>
      </c>
      <c r="G12" s="8" t="s">
        <v>442</v>
      </c>
      <c r="H12" s="8" t="s">
        <v>431</v>
      </c>
      <c r="I12" s="8" t="s">
        <v>302</v>
      </c>
      <c r="J12" s="8" t="s">
        <v>115</v>
      </c>
      <c r="K12" s="8" t="s">
        <v>156</v>
      </c>
    </row>
    <row r="13" customFormat="false" ht="15" hidden="false" customHeight="false" outlineLevel="0" collapsed="false">
      <c r="A13" s="8" t="s">
        <v>293</v>
      </c>
      <c r="B13" s="8" t="s">
        <v>303</v>
      </c>
      <c r="C13" s="8" t="s">
        <v>304</v>
      </c>
      <c r="D13" s="8" t="s">
        <v>305</v>
      </c>
      <c r="E13" s="8" t="s">
        <v>443</v>
      </c>
      <c r="F13" s="8" t="s">
        <v>306</v>
      </c>
      <c r="G13" s="8" t="s">
        <v>444</v>
      </c>
      <c r="H13" s="8" t="s">
        <v>424</v>
      </c>
      <c r="I13" s="8" t="s">
        <v>307</v>
      </c>
      <c r="J13" s="8" t="s">
        <v>115</v>
      </c>
      <c r="K13" s="8" t="s">
        <v>138</v>
      </c>
    </row>
    <row r="14" customFormat="false" ht="23.85" hidden="false" customHeight="false" outlineLevel="0" collapsed="false">
      <c r="A14" s="8" t="s">
        <v>293</v>
      </c>
      <c r="B14" s="8" t="s">
        <v>308</v>
      </c>
      <c r="C14" s="8" t="s">
        <v>309</v>
      </c>
      <c r="D14" s="8" t="s">
        <v>310</v>
      </c>
      <c r="E14" s="8" t="s">
        <v>445</v>
      </c>
      <c r="F14" s="8" t="s">
        <v>311</v>
      </c>
      <c r="G14" s="8" t="s">
        <v>446</v>
      </c>
      <c r="H14" s="8" t="s">
        <v>424</v>
      </c>
      <c r="I14" s="8" t="s">
        <v>312</v>
      </c>
      <c r="J14" s="8" t="s">
        <v>115</v>
      </c>
      <c r="K14" s="8" t="s">
        <v>138</v>
      </c>
    </row>
    <row r="15" customFormat="false" ht="15" hidden="false" customHeight="false" outlineLevel="0" collapsed="false">
      <c r="A15" s="8" t="s">
        <v>293</v>
      </c>
      <c r="B15" s="8" t="s">
        <v>313</v>
      </c>
      <c r="C15" s="8" t="s">
        <v>314</v>
      </c>
      <c r="D15" s="8" t="s">
        <v>315</v>
      </c>
      <c r="E15" s="8" t="s">
        <v>447</v>
      </c>
      <c r="F15" s="8" t="s">
        <v>316</v>
      </c>
      <c r="G15" s="8" t="s">
        <v>448</v>
      </c>
      <c r="H15" s="8" t="s">
        <v>424</v>
      </c>
      <c r="I15" s="8" t="s">
        <v>317</v>
      </c>
      <c r="J15" s="8" t="s">
        <v>115</v>
      </c>
      <c r="K15" s="8" t="s">
        <v>132</v>
      </c>
    </row>
    <row r="16" customFormat="false" ht="15" hidden="false" customHeight="false" outlineLevel="0" collapsed="false">
      <c r="A16" s="8" t="s">
        <v>318</v>
      </c>
      <c r="B16" s="8" t="s">
        <v>319</v>
      </c>
      <c r="C16" s="8" t="s">
        <v>320</v>
      </c>
      <c r="D16" s="8" t="s">
        <v>321</v>
      </c>
      <c r="E16" s="8" t="s">
        <v>449</v>
      </c>
      <c r="F16" s="8" t="s">
        <v>322</v>
      </c>
      <c r="G16" s="8" t="s">
        <v>450</v>
      </c>
      <c r="H16" s="8" t="s">
        <v>424</v>
      </c>
      <c r="I16" s="8" t="s">
        <v>323</v>
      </c>
      <c r="J16" s="8" t="s">
        <v>89</v>
      </c>
      <c r="K16" s="8" t="s">
        <v>132</v>
      </c>
    </row>
    <row r="17" customFormat="false" ht="23.85" hidden="false" customHeight="false" outlineLevel="0" collapsed="false">
      <c r="A17" s="8" t="s">
        <v>324</v>
      </c>
      <c r="B17" s="8" t="s">
        <v>325</v>
      </c>
      <c r="C17" s="8" t="s">
        <v>326</v>
      </c>
      <c r="D17" s="8" t="s">
        <v>327</v>
      </c>
      <c r="E17" s="8" t="s">
        <v>451</v>
      </c>
      <c r="F17" s="8" t="s">
        <v>328</v>
      </c>
      <c r="G17" s="8" t="s">
        <v>452</v>
      </c>
      <c r="H17" s="8" t="s">
        <v>424</v>
      </c>
      <c r="I17" s="8" t="s">
        <v>329</v>
      </c>
      <c r="J17" s="8" t="s">
        <v>89</v>
      </c>
      <c r="K17" s="8" t="s">
        <v>156</v>
      </c>
    </row>
    <row r="18" customFormat="false" ht="23.85" hidden="false" customHeight="false" outlineLevel="0" collapsed="false">
      <c r="A18" s="8" t="s">
        <v>330</v>
      </c>
      <c r="B18" s="8" t="s">
        <v>331</v>
      </c>
      <c r="C18" s="8" t="s">
        <v>332</v>
      </c>
      <c r="D18" s="8" t="s">
        <v>333</v>
      </c>
      <c r="E18" s="8" t="s">
        <v>453</v>
      </c>
      <c r="F18" s="8" t="s">
        <v>334</v>
      </c>
      <c r="G18" s="8" t="s">
        <v>454</v>
      </c>
      <c r="H18" s="8" t="s">
        <v>424</v>
      </c>
      <c r="I18" s="8" t="s">
        <v>335</v>
      </c>
      <c r="J18" s="8" t="s">
        <v>115</v>
      </c>
      <c r="K18" s="8" t="s">
        <v>138</v>
      </c>
    </row>
    <row r="19" customFormat="false" ht="15" hidden="false" customHeight="false" outlineLevel="0" collapsed="false">
      <c r="A19" s="8" t="s">
        <v>330</v>
      </c>
      <c r="B19" s="8" t="s">
        <v>336</v>
      </c>
      <c r="C19" s="8" t="s">
        <v>151</v>
      </c>
      <c r="D19" s="8" t="s">
        <v>337</v>
      </c>
      <c r="E19" s="8" t="s">
        <v>455</v>
      </c>
      <c r="F19" s="8" t="s">
        <v>338</v>
      </c>
      <c r="G19" s="8" t="s">
        <v>456</v>
      </c>
      <c r="H19" s="8" t="s">
        <v>424</v>
      </c>
      <c r="I19" s="8" t="s">
        <v>339</v>
      </c>
      <c r="J19" s="8" t="s">
        <v>115</v>
      </c>
      <c r="K19" s="8" t="s">
        <v>132</v>
      </c>
    </row>
    <row r="20" customFormat="false" ht="23.85" hidden="false" customHeight="false" outlineLevel="0" collapsed="false">
      <c r="A20" s="8" t="s">
        <v>330</v>
      </c>
      <c r="B20" s="8" t="s">
        <v>340</v>
      </c>
      <c r="C20" s="8" t="s">
        <v>341</v>
      </c>
      <c r="D20" s="8" t="s">
        <v>342</v>
      </c>
      <c r="E20" s="8" t="s">
        <v>457</v>
      </c>
      <c r="F20" s="8" t="s">
        <v>343</v>
      </c>
      <c r="G20" s="8" t="s">
        <v>458</v>
      </c>
      <c r="H20" s="8" t="s">
        <v>424</v>
      </c>
      <c r="I20" s="8" t="s">
        <v>344</v>
      </c>
      <c r="J20" s="8" t="s">
        <v>115</v>
      </c>
      <c r="K20" s="8" t="s">
        <v>132</v>
      </c>
    </row>
    <row r="21" customFormat="false" ht="15" hidden="false" customHeight="false" outlineLevel="0" collapsed="false">
      <c r="A21" s="8" t="s">
        <v>345</v>
      </c>
      <c r="B21" s="8" t="s">
        <v>346</v>
      </c>
      <c r="C21" s="8" t="s">
        <v>347</v>
      </c>
      <c r="D21" s="8" t="s">
        <v>348</v>
      </c>
      <c r="E21" s="8" t="s">
        <v>459</v>
      </c>
      <c r="F21" s="8" t="s">
        <v>349</v>
      </c>
      <c r="G21" s="8" t="s">
        <v>460</v>
      </c>
      <c r="H21" s="8" t="s">
        <v>424</v>
      </c>
      <c r="I21" s="8" t="s">
        <v>350</v>
      </c>
      <c r="J21" s="8" t="s">
        <v>115</v>
      </c>
      <c r="K21" s="8" t="s">
        <v>132</v>
      </c>
    </row>
    <row r="22" customFormat="false" ht="15" hidden="false" customHeight="false" outlineLevel="0" collapsed="false">
      <c r="A22" s="8" t="s">
        <v>345</v>
      </c>
      <c r="B22" s="8" t="s">
        <v>351</v>
      </c>
      <c r="C22" s="8" t="s">
        <v>352</v>
      </c>
      <c r="D22" s="8" t="s">
        <v>353</v>
      </c>
      <c r="E22" s="8" t="s">
        <v>461</v>
      </c>
      <c r="F22" s="8" t="s">
        <v>354</v>
      </c>
      <c r="G22" s="8" t="s">
        <v>462</v>
      </c>
      <c r="H22" s="8" t="s">
        <v>424</v>
      </c>
      <c r="I22" s="8" t="s">
        <v>355</v>
      </c>
      <c r="J22" s="8" t="s">
        <v>115</v>
      </c>
      <c r="K22" s="8" t="s">
        <v>156</v>
      </c>
    </row>
    <row r="23" customFormat="false" ht="15" hidden="false" customHeight="false" outlineLevel="0" collapsed="false">
      <c r="A23" s="8" t="s">
        <v>345</v>
      </c>
      <c r="B23" s="8" t="s">
        <v>356</v>
      </c>
      <c r="C23" s="8" t="s">
        <v>357</v>
      </c>
      <c r="D23" s="8" t="s">
        <v>358</v>
      </c>
      <c r="E23" s="8" t="s">
        <v>463</v>
      </c>
      <c r="F23" s="8" t="s">
        <v>359</v>
      </c>
      <c r="G23" s="8" t="s">
        <v>464</v>
      </c>
      <c r="H23" s="8" t="s">
        <v>424</v>
      </c>
      <c r="I23" s="8" t="s">
        <v>360</v>
      </c>
      <c r="J23" s="8" t="s">
        <v>115</v>
      </c>
      <c r="K23" s="8" t="s">
        <v>156</v>
      </c>
    </row>
    <row r="24" customFormat="false" ht="15" hidden="false" customHeight="false" outlineLevel="0" collapsed="false">
      <c r="A24" s="8" t="s">
        <v>345</v>
      </c>
      <c r="B24" s="8" t="s">
        <v>361</v>
      </c>
      <c r="C24" s="8" t="s">
        <v>362</v>
      </c>
      <c r="D24" s="8" t="s">
        <v>363</v>
      </c>
      <c r="E24" s="8" t="s">
        <v>465</v>
      </c>
      <c r="F24" s="8" t="s">
        <v>364</v>
      </c>
      <c r="G24" s="8" t="s">
        <v>466</v>
      </c>
      <c r="H24" s="8" t="s">
        <v>424</v>
      </c>
      <c r="I24" s="8" t="s">
        <v>365</v>
      </c>
      <c r="J24" s="8" t="s">
        <v>115</v>
      </c>
      <c r="K24" s="8" t="s">
        <v>156</v>
      </c>
    </row>
    <row r="25" customFormat="false" ht="15" hidden="false" customHeight="false" outlineLevel="0" collapsed="false">
      <c r="A25" s="8" t="s">
        <v>345</v>
      </c>
      <c r="B25" s="8" t="s">
        <v>366</v>
      </c>
      <c r="C25" s="8" t="s">
        <v>367</v>
      </c>
      <c r="D25" s="8" t="s">
        <v>368</v>
      </c>
      <c r="E25" s="8" t="s">
        <v>467</v>
      </c>
      <c r="F25" s="8" t="s">
        <v>369</v>
      </c>
      <c r="G25" s="8" t="s">
        <v>468</v>
      </c>
      <c r="H25" s="8" t="s">
        <v>424</v>
      </c>
      <c r="I25" s="8" t="s">
        <v>370</v>
      </c>
      <c r="J25" s="8" t="s">
        <v>115</v>
      </c>
      <c r="K25" s="8" t="s">
        <v>204</v>
      </c>
    </row>
    <row r="26" customFormat="false" ht="15" hidden="false" customHeight="false" outlineLevel="0" collapsed="false">
      <c r="A26" s="8" t="s">
        <v>345</v>
      </c>
      <c r="B26" s="8" t="s">
        <v>371</v>
      </c>
      <c r="C26" s="8" t="s">
        <v>372</v>
      </c>
      <c r="D26" s="8" t="s">
        <v>151</v>
      </c>
      <c r="E26" s="8" t="s">
        <v>469</v>
      </c>
      <c r="F26" s="8" t="s">
        <v>373</v>
      </c>
      <c r="G26" s="8" t="s">
        <v>470</v>
      </c>
      <c r="H26" s="8" t="s">
        <v>431</v>
      </c>
      <c r="I26" s="8" t="s">
        <v>374</v>
      </c>
      <c r="J26" s="8" t="s">
        <v>115</v>
      </c>
      <c r="K26" s="8" t="s">
        <v>204</v>
      </c>
    </row>
    <row r="27" customFormat="false" ht="15" hidden="false" customHeight="false" outlineLevel="0" collapsed="false">
      <c r="A27" s="8" t="s">
        <v>375</v>
      </c>
      <c r="B27" s="8" t="s">
        <v>376</v>
      </c>
      <c r="C27" s="8" t="s">
        <v>377</v>
      </c>
      <c r="D27" s="8" t="s">
        <v>378</v>
      </c>
      <c r="E27" s="8" t="s">
        <v>471</v>
      </c>
      <c r="F27" s="8" t="s">
        <v>379</v>
      </c>
      <c r="G27" s="8" t="s">
        <v>472</v>
      </c>
      <c r="H27" s="8" t="s">
        <v>424</v>
      </c>
      <c r="I27" s="8" t="s">
        <v>380</v>
      </c>
      <c r="J27" s="8" t="s">
        <v>115</v>
      </c>
      <c r="K27" s="8" t="s">
        <v>132</v>
      </c>
    </row>
    <row r="28" customFormat="false" ht="23.85" hidden="false" customHeight="false" outlineLevel="0" collapsed="false">
      <c r="A28" s="8" t="s">
        <v>375</v>
      </c>
      <c r="B28" s="8" t="s">
        <v>381</v>
      </c>
      <c r="C28" s="8" t="s">
        <v>382</v>
      </c>
      <c r="D28" s="8" t="s">
        <v>383</v>
      </c>
      <c r="E28" s="8" t="s">
        <v>473</v>
      </c>
      <c r="F28" s="8" t="s">
        <v>384</v>
      </c>
      <c r="G28" s="8" t="s">
        <v>474</v>
      </c>
      <c r="H28" s="8" t="s">
        <v>424</v>
      </c>
      <c r="I28" s="8" t="s">
        <v>385</v>
      </c>
      <c r="J28" s="8" t="s">
        <v>115</v>
      </c>
      <c r="K28" s="8" t="s">
        <v>138</v>
      </c>
    </row>
    <row r="29" customFormat="false" ht="23.85" hidden="false" customHeight="false" outlineLevel="0" collapsed="false">
      <c r="A29" s="8" t="s">
        <v>386</v>
      </c>
      <c r="B29" s="8" t="s">
        <v>387</v>
      </c>
      <c r="C29" s="8" t="s">
        <v>388</v>
      </c>
      <c r="D29" s="8" t="s">
        <v>389</v>
      </c>
      <c r="E29" s="8" t="s">
        <v>475</v>
      </c>
      <c r="F29" s="8" t="s">
        <v>390</v>
      </c>
      <c r="G29" s="8" t="s">
        <v>476</v>
      </c>
      <c r="H29" s="8" t="s">
        <v>424</v>
      </c>
      <c r="I29" s="8" t="s">
        <v>391</v>
      </c>
      <c r="J29" s="8" t="s">
        <v>115</v>
      </c>
      <c r="K29" s="8" t="s">
        <v>138</v>
      </c>
    </row>
    <row r="30" customFormat="false" ht="15" hidden="false" customHeight="false" outlineLevel="0" collapsed="false">
      <c r="A30" s="8" t="s">
        <v>386</v>
      </c>
      <c r="B30" s="8" t="s">
        <v>392</v>
      </c>
      <c r="C30" s="8" t="s">
        <v>393</v>
      </c>
      <c r="D30" s="8" t="s">
        <v>394</v>
      </c>
      <c r="E30" s="8" t="s">
        <v>477</v>
      </c>
      <c r="F30" s="8" t="s">
        <v>395</v>
      </c>
      <c r="G30" s="8" t="s">
        <v>478</v>
      </c>
      <c r="H30" s="8" t="s">
        <v>424</v>
      </c>
      <c r="I30" s="8" t="s">
        <v>396</v>
      </c>
      <c r="J30" s="8" t="s">
        <v>89</v>
      </c>
      <c r="K30" s="8" t="s">
        <v>156</v>
      </c>
    </row>
    <row r="31" customFormat="false" ht="23.85" hidden="false" customHeight="false" outlineLevel="0" collapsed="false">
      <c r="A31" s="8" t="s">
        <v>397</v>
      </c>
      <c r="B31" s="8" t="s">
        <v>398</v>
      </c>
      <c r="C31" s="8" t="s">
        <v>399</v>
      </c>
      <c r="D31" s="8" t="s">
        <v>400</v>
      </c>
      <c r="E31" s="8" t="s">
        <v>479</v>
      </c>
      <c r="F31" s="8" t="s">
        <v>401</v>
      </c>
      <c r="G31" s="8" t="s">
        <v>480</v>
      </c>
      <c r="H31" s="8" t="s">
        <v>424</v>
      </c>
      <c r="I31" s="8" t="s">
        <v>402</v>
      </c>
      <c r="J31" s="8" t="s">
        <v>115</v>
      </c>
      <c r="K31" s="8" t="s">
        <v>138</v>
      </c>
    </row>
    <row r="32" customFormat="false" ht="35.05" hidden="false" customHeight="false" outlineLevel="0" collapsed="false">
      <c r="A32" s="8" t="s">
        <v>397</v>
      </c>
      <c r="B32" s="8" t="s">
        <v>403</v>
      </c>
      <c r="C32" s="8" t="s">
        <v>341</v>
      </c>
      <c r="D32" s="8" t="s">
        <v>404</v>
      </c>
      <c r="E32" s="8" t="s">
        <v>481</v>
      </c>
      <c r="F32" s="8" t="s">
        <v>405</v>
      </c>
      <c r="G32" s="8" t="s">
        <v>482</v>
      </c>
      <c r="H32" s="8" t="s">
        <v>424</v>
      </c>
      <c r="I32" s="8" t="s">
        <v>406</v>
      </c>
      <c r="J32" s="8" t="s">
        <v>115</v>
      </c>
      <c r="K32" s="8" t="s">
        <v>138</v>
      </c>
    </row>
    <row r="33" customFormat="false" ht="15" hidden="false" customHeight="false" outlineLevel="0" collapsed="false">
      <c r="A33" s="8" t="s">
        <v>407</v>
      </c>
      <c r="B33" s="8" t="s">
        <v>408</v>
      </c>
      <c r="C33" s="8" t="s">
        <v>409</v>
      </c>
      <c r="D33" s="8" t="s">
        <v>151</v>
      </c>
      <c r="E33" s="8" t="s">
        <v>483</v>
      </c>
      <c r="F33" s="8" t="s">
        <v>410</v>
      </c>
      <c r="G33" s="8" t="s">
        <v>484</v>
      </c>
      <c r="H33" s="8" t="s">
        <v>431</v>
      </c>
      <c r="I33" s="8" t="s">
        <v>411</v>
      </c>
      <c r="J33" s="8" t="s">
        <v>115</v>
      </c>
      <c r="K33" s="8" t="s">
        <v>156</v>
      </c>
    </row>
    <row r="34" customFormat="false" ht="15" hidden="false" customHeight="false" outlineLevel="0" collapsed="false">
      <c r="A34" s="8" t="s">
        <v>407</v>
      </c>
      <c r="B34" s="8" t="s">
        <v>412</v>
      </c>
      <c r="C34" s="8" t="s">
        <v>413</v>
      </c>
      <c r="D34" s="8" t="s">
        <v>414</v>
      </c>
      <c r="E34" s="8" t="s">
        <v>485</v>
      </c>
      <c r="F34" s="8" t="s">
        <v>415</v>
      </c>
      <c r="G34" s="8" t="s">
        <v>486</v>
      </c>
      <c r="H34" s="8" t="s">
        <v>487</v>
      </c>
      <c r="I34" s="8" t="s">
        <v>416</v>
      </c>
      <c r="J34" s="8" t="s">
        <v>89</v>
      </c>
      <c r="K34" s="8" t="s">
        <v>156</v>
      </c>
    </row>
  </sheetData>
  <autoFilter ref="A3:K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488</v>
      </c>
    </row>
    <row r="2" customFormat="false" ht="15" hidden="false" customHeight="false" outlineLevel="0" collapsed="false">
      <c r="A2" s="6" t="s">
        <v>51</v>
      </c>
    </row>
    <row r="3" customFormat="false" ht="15" hidden="false" customHeight="false" outlineLevel="0" collapsed="false">
      <c r="A3" s="7" t="s">
        <v>489</v>
      </c>
      <c r="B3" s="7" t="s">
        <v>490</v>
      </c>
      <c r="C3" s="7" t="s">
        <v>491</v>
      </c>
      <c r="D3" s="7" t="s">
        <v>421</v>
      </c>
      <c r="E3" s="7" t="s">
        <v>492</v>
      </c>
    </row>
    <row r="4" customFormat="false" ht="23.85" hidden="false" customHeight="false" outlineLevel="0" collapsed="false">
      <c r="A4" s="8" t="s">
        <v>493</v>
      </c>
      <c r="B4" s="8" t="s">
        <v>494</v>
      </c>
      <c r="C4" s="8" t="s">
        <v>495</v>
      </c>
      <c r="D4" s="8" t="s">
        <v>138</v>
      </c>
      <c r="E4" s="8" t="s">
        <v>496</v>
      </c>
    </row>
    <row r="5" customFormat="false" ht="23.85" hidden="false" customHeight="false" outlineLevel="0" collapsed="false">
      <c r="A5" s="8" t="s">
        <v>497</v>
      </c>
      <c r="B5" s="8" t="s">
        <v>498</v>
      </c>
      <c r="C5" s="8" t="s">
        <v>499</v>
      </c>
      <c r="D5" s="8" t="s">
        <v>138</v>
      </c>
      <c r="E5" s="8" t="s">
        <v>500</v>
      </c>
    </row>
    <row r="6" customFormat="false" ht="23.85" hidden="false" customHeight="false" outlineLevel="0" collapsed="false">
      <c r="A6" s="8" t="s">
        <v>501</v>
      </c>
      <c r="B6" s="8" t="s">
        <v>502</v>
      </c>
      <c r="C6" s="8" t="s">
        <v>503</v>
      </c>
      <c r="D6" s="8" t="s">
        <v>138</v>
      </c>
      <c r="E6" s="8" t="s">
        <v>504</v>
      </c>
    </row>
    <row r="7" customFormat="false" ht="23.85" hidden="false" customHeight="false" outlineLevel="0" collapsed="false">
      <c r="A7" s="8" t="s">
        <v>505</v>
      </c>
      <c r="B7" s="8" t="s">
        <v>506</v>
      </c>
      <c r="C7" s="8" t="s">
        <v>507</v>
      </c>
      <c r="D7" s="8" t="s">
        <v>132</v>
      </c>
      <c r="E7" s="8" t="s">
        <v>508</v>
      </c>
    </row>
    <row r="8" customFormat="false" ht="15" hidden="false" customHeight="false" outlineLevel="0" collapsed="false">
      <c r="A8" s="8" t="s">
        <v>509</v>
      </c>
      <c r="B8" s="8" t="s">
        <v>510</v>
      </c>
      <c r="C8" s="8" t="s">
        <v>511</v>
      </c>
      <c r="D8" s="8" t="s">
        <v>138</v>
      </c>
      <c r="E8" s="8" t="s">
        <v>512</v>
      </c>
    </row>
    <row r="9" customFormat="false" ht="23.85" hidden="false" customHeight="false" outlineLevel="0" collapsed="false">
      <c r="A9" s="8" t="s">
        <v>513</v>
      </c>
      <c r="B9" s="8" t="s">
        <v>514</v>
      </c>
      <c r="C9" s="8" t="s">
        <v>515</v>
      </c>
      <c r="D9" s="8" t="s">
        <v>138</v>
      </c>
      <c r="E9" s="8" t="s">
        <v>516</v>
      </c>
    </row>
    <row r="10" customFormat="false" ht="15" hidden="false" customHeight="false" outlineLevel="0" collapsed="false">
      <c r="A10" s="8" t="s">
        <v>517</v>
      </c>
      <c r="B10" s="8" t="s">
        <v>518</v>
      </c>
      <c r="C10" s="8" t="s">
        <v>519</v>
      </c>
      <c r="D10" s="8" t="s">
        <v>132</v>
      </c>
      <c r="E10" s="8" t="s">
        <v>520</v>
      </c>
    </row>
    <row r="11" customFormat="false" ht="15" hidden="false" customHeight="false" outlineLevel="0" collapsed="false">
      <c r="A11" s="8" t="s">
        <v>521</v>
      </c>
      <c r="B11" s="8" t="s">
        <v>522</v>
      </c>
      <c r="C11" s="8" t="s">
        <v>523</v>
      </c>
      <c r="D11" s="8" t="s">
        <v>132</v>
      </c>
      <c r="E11" s="8" t="s">
        <v>524</v>
      </c>
    </row>
    <row r="12" customFormat="false" ht="23.85" hidden="false" customHeight="false" outlineLevel="0" collapsed="false">
      <c r="A12" s="8" t="s">
        <v>525</v>
      </c>
      <c r="B12" s="8" t="s">
        <v>526</v>
      </c>
      <c r="C12" s="8" t="s">
        <v>527</v>
      </c>
      <c r="D12" s="8" t="s">
        <v>156</v>
      </c>
      <c r="E12" s="8" t="s">
        <v>528</v>
      </c>
    </row>
    <row r="13" customFormat="false" ht="15" hidden="false" customHeight="false" outlineLevel="0" collapsed="false">
      <c r="A13" s="8" t="s">
        <v>529</v>
      </c>
      <c r="B13" s="8" t="s">
        <v>530</v>
      </c>
      <c r="C13" s="8" t="s">
        <v>531</v>
      </c>
      <c r="D13" s="8" t="s">
        <v>132</v>
      </c>
      <c r="E13" s="8" t="s">
        <v>532</v>
      </c>
    </row>
    <row r="14" customFormat="false" ht="15" hidden="false" customHeight="false" outlineLevel="0" collapsed="false">
      <c r="A14" s="8" t="s">
        <v>533</v>
      </c>
      <c r="B14" s="8" t="s">
        <v>534</v>
      </c>
      <c r="C14" s="8" t="s">
        <v>535</v>
      </c>
      <c r="D14" s="8" t="s">
        <v>156</v>
      </c>
      <c r="E14" s="8" t="s">
        <v>536</v>
      </c>
    </row>
    <row r="15" customFormat="false" ht="15" hidden="false" customHeight="false" outlineLevel="0" collapsed="false">
      <c r="A15" s="8" t="s">
        <v>537</v>
      </c>
      <c r="B15" s="8" t="s">
        <v>538</v>
      </c>
      <c r="C15" s="8" t="s">
        <v>539</v>
      </c>
      <c r="D15" s="8" t="s">
        <v>132</v>
      </c>
      <c r="E15" s="8" t="s">
        <v>540</v>
      </c>
    </row>
    <row r="16" customFormat="false" ht="15" hidden="false" customHeight="false" outlineLevel="0" collapsed="false">
      <c r="A16" s="8" t="s">
        <v>541</v>
      </c>
      <c r="B16" s="8" t="s">
        <v>542</v>
      </c>
      <c r="C16" s="8" t="s">
        <v>543</v>
      </c>
      <c r="D16" s="8" t="s">
        <v>156</v>
      </c>
      <c r="E16" s="8" t="s">
        <v>544</v>
      </c>
    </row>
    <row r="17" customFormat="false" ht="15" hidden="false" customHeight="false" outlineLevel="0" collapsed="false">
      <c r="A17" s="8" t="s">
        <v>545</v>
      </c>
      <c r="B17" s="8" t="s">
        <v>546</v>
      </c>
      <c r="C17" s="8" t="s">
        <v>547</v>
      </c>
      <c r="D17" s="8" t="s">
        <v>156</v>
      </c>
      <c r="E17" s="8" t="s">
        <v>548</v>
      </c>
    </row>
  </sheetData>
  <autoFilter ref="A3:E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28"/>
    <col collapsed="false" customWidth="true" hidden="false" outlineLevel="0" max="6" min="6" style="0" width="56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549</v>
      </c>
    </row>
    <row r="2" customFormat="false" ht="15" hidden="false" customHeight="false" outlineLevel="0" collapsed="false">
      <c r="A2" s="6" t="s">
        <v>51</v>
      </c>
    </row>
    <row r="3" customFormat="false" ht="15" hidden="false" customHeight="false" outlineLevel="0" collapsed="false">
      <c r="A3" s="7" t="s">
        <v>550</v>
      </c>
      <c r="B3" s="7" t="s">
        <v>551</v>
      </c>
      <c r="C3" s="7" t="s">
        <v>552</v>
      </c>
      <c r="D3" s="7" t="s">
        <v>553</v>
      </c>
      <c r="E3" s="7" t="s">
        <v>54</v>
      </c>
      <c r="F3" s="7" t="s">
        <v>554</v>
      </c>
      <c r="G3" s="7" t="s">
        <v>57</v>
      </c>
    </row>
    <row r="4" customFormat="false" ht="23.85" hidden="false" customHeight="false" outlineLevel="0" collapsed="false">
      <c r="A4" s="8" t="s">
        <v>555</v>
      </c>
      <c r="B4" s="8" t="s">
        <v>556</v>
      </c>
      <c r="C4" s="8" t="s">
        <v>557</v>
      </c>
      <c r="D4" s="8" t="s">
        <v>558</v>
      </c>
      <c r="E4" s="8" t="s">
        <v>559</v>
      </c>
      <c r="F4" s="8" t="s">
        <v>560</v>
      </c>
      <c r="G4" s="8" t="s">
        <v>561</v>
      </c>
    </row>
    <row r="5" customFormat="false" ht="23.85" hidden="false" customHeight="false" outlineLevel="0" collapsed="false">
      <c r="A5" s="8" t="s">
        <v>562</v>
      </c>
      <c r="B5" s="8" t="s">
        <v>556</v>
      </c>
      <c r="C5" s="8" t="s">
        <v>563</v>
      </c>
      <c r="D5" s="8" t="s">
        <v>564</v>
      </c>
      <c r="E5" s="8" t="s">
        <v>559</v>
      </c>
      <c r="F5" s="8" t="s">
        <v>565</v>
      </c>
      <c r="G5" s="8" t="s">
        <v>566</v>
      </c>
    </row>
    <row r="6" customFormat="false" ht="23.85" hidden="false" customHeight="false" outlineLevel="0" collapsed="false">
      <c r="A6" s="8" t="s">
        <v>567</v>
      </c>
      <c r="B6" s="8" t="s">
        <v>556</v>
      </c>
      <c r="C6" s="8" t="s">
        <v>563</v>
      </c>
      <c r="D6" s="8" t="s">
        <v>564</v>
      </c>
      <c r="E6" s="8" t="s">
        <v>559</v>
      </c>
      <c r="F6" s="8" t="s">
        <v>565</v>
      </c>
      <c r="G6" s="8" t="s">
        <v>566</v>
      </c>
    </row>
    <row r="7" customFormat="false" ht="23.85" hidden="false" customHeight="false" outlineLevel="0" collapsed="false">
      <c r="A7" s="8" t="s">
        <v>568</v>
      </c>
      <c r="B7" s="8" t="s">
        <v>569</v>
      </c>
      <c r="C7" s="8" t="s">
        <v>570</v>
      </c>
      <c r="D7" s="8" t="s">
        <v>571</v>
      </c>
      <c r="E7" s="8" t="s">
        <v>559</v>
      </c>
      <c r="F7" s="8" t="s">
        <v>572</v>
      </c>
      <c r="G7" s="8" t="s">
        <v>561</v>
      </c>
    </row>
    <row r="8" customFormat="false" ht="23.85" hidden="false" customHeight="false" outlineLevel="0" collapsed="false">
      <c r="A8" s="8" t="s">
        <v>573</v>
      </c>
      <c r="B8" s="8" t="s">
        <v>574</v>
      </c>
      <c r="C8" s="8" t="s">
        <v>570</v>
      </c>
      <c r="D8" s="8" t="s">
        <v>571</v>
      </c>
      <c r="E8" s="8" t="s">
        <v>559</v>
      </c>
      <c r="F8" s="8" t="s">
        <v>575</v>
      </c>
      <c r="G8" s="8" t="s">
        <v>561</v>
      </c>
    </row>
    <row r="9" customFormat="false" ht="23.85" hidden="false" customHeight="false" outlineLevel="0" collapsed="false">
      <c r="A9" s="8" t="s">
        <v>576</v>
      </c>
      <c r="B9" s="8" t="s">
        <v>574</v>
      </c>
      <c r="C9" s="8" t="s">
        <v>570</v>
      </c>
      <c r="D9" s="8" t="s">
        <v>577</v>
      </c>
      <c r="E9" s="8" t="s">
        <v>559</v>
      </c>
      <c r="F9" s="8" t="s">
        <v>578</v>
      </c>
      <c r="G9" s="8" t="s">
        <v>561</v>
      </c>
    </row>
    <row r="10" customFormat="false" ht="23.85" hidden="false" customHeight="false" outlineLevel="0" collapsed="false">
      <c r="A10" s="8" t="s">
        <v>579</v>
      </c>
      <c r="B10" s="8" t="s">
        <v>574</v>
      </c>
      <c r="C10" s="8" t="s">
        <v>570</v>
      </c>
      <c r="D10" s="8" t="s">
        <v>580</v>
      </c>
      <c r="E10" s="8" t="s">
        <v>559</v>
      </c>
      <c r="F10" s="8" t="s">
        <v>581</v>
      </c>
      <c r="G10" s="8" t="s">
        <v>561</v>
      </c>
    </row>
    <row r="11" customFormat="false" ht="23.85" hidden="false" customHeight="false" outlineLevel="0" collapsed="false">
      <c r="A11" s="8" t="s">
        <v>582</v>
      </c>
      <c r="B11" s="8" t="s">
        <v>583</v>
      </c>
      <c r="C11" s="8" t="s">
        <v>557</v>
      </c>
      <c r="D11" s="8" t="s">
        <v>584</v>
      </c>
      <c r="E11" s="8" t="s">
        <v>559</v>
      </c>
      <c r="F11" s="8" t="s">
        <v>585</v>
      </c>
      <c r="G11" s="8" t="s">
        <v>561</v>
      </c>
    </row>
    <row r="12" customFormat="false" ht="23.85" hidden="false" customHeight="false" outlineLevel="0" collapsed="false">
      <c r="A12" s="8" t="s">
        <v>586</v>
      </c>
      <c r="B12" s="8" t="s">
        <v>574</v>
      </c>
      <c r="C12" s="8" t="s">
        <v>557</v>
      </c>
      <c r="D12" s="8" t="s">
        <v>587</v>
      </c>
      <c r="E12" s="8" t="s">
        <v>559</v>
      </c>
      <c r="F12" s="8" t="s">
        <v>575</v>
      </c>
      <c r="G12" s="8" t="s">
        <v>561</v>
      </c>
    </row>
    <row r="13" customFormat="false" ht="23.85" hidden="false" customHeight="false" outlineLevel="0" collapsed="false">
      <c r="A13" s="8" t="s">
        <v>588</v>
      </c>
      <c r="B13" s="8" t="s">
        <v>574</v>
      </c>
      <c r="C13" s="8" t="s">
        <v>589</v>
      </c>
      <c r="D13" s="8" t="s">
        <v>590</v>
      </c>
      <c r="E13" s="8" t="s">
        <v>559</v>
      </c>
      <c r="F13" s="8" t="s">
        <v>591</v>
      </c>
      <c r="G13" s="8" t="s">
        <v>561</v>
      </c>
    </row>
    <row r="14" customFormat="false" ht="23.85" hidden="false" customHeight="false" outlineLevel="0" collapsed="false">
      <c r="A14" s="8" t="s">
        <v>592</v>
      </c>
      <c r="B14" s="8" t="s">
        <v>574</v>
      </c>
      <c r="C14" s="8" t="s">
        <v>557</v>
      </c>
      <c r="D14" s="8" t="s">
        <v>593</v>
      </c>
      <c r="E14" s="8" t="s">
        <v>559</v>
      </c>
      <c r="F14" s="8" t="s">
        <v>575</v>
      </c>
      <c r="G14" s="8" t="s">
        <v>561</v>
      </c>
    </row>
    <row r="15" customFormat="false" ht="23.85" hidden="false" customHeight="false" outlineLevel="0" collapsed="false">
      <c r="A15" s="8" t="s">
        <v>594</v>
      </c>
      <c r="B15" s="8" t="s">
        <v>574</v>
      </c>
      <c r="C15" s="8" t="s">
        <v>557</v>
      </c>
      <c r="D15" s="8" t="s">
        <v>595</v>
      </c>
      <c r="E15" s="8" t="s">
        <v>559</v>
      </c>
      <c r="F15" s="8" t="s">
        <v>596</v>
      </c>
      <c r="G15" s="8" t="s">
        <v>561</v>
      </c>
    </row>
    <row r="16" customFormat="false" ht="23.85" hidden="false" customHeight="false" outlineLevel="0" collapsed="false">
      <c r="A16" s="8" t="s">
        <v>597</v>
      </c>
      <c r="B16" s="8" t="s">
        <v>574</v>
      </c>
      <c r="C16" s="8" t="s">
        <v>557</v>
      </c>
      <c r="D16" s="8" t="s">
        <v>598</v>
      </c>
      <c r="E16" s="8" t="s">
        <v>559</v>
      </c>
      <c r="F16" s="8" t="s">
        <v>575</v>
      </c>
      <c r="G16" s="8" t="s">
        <v>561</v>
      </c>
    </row>
    <row r="17" customFormat="false" ht="23.85" hidden="false" customHeight="false" outlineLevel="0" collapsed="false">
      <c r="A17" s="8" t="s">
        <v>599</v>
      </c>
      <c r="B17" s="8" t="s">
        <v>574</v>
      </c>
      <c r="C17" s="8" t="s">
        <v>557</v>
      </c>
      <c r="D17" s="8" t="s">
        <v>600</v>
      </c>
      <c r="E17" s="8" t="s">
        <v>559</v>
      </c>
      <c r="F17" s="8" t="s">
        <v>575</v>
      </c>
      <c r="G17" s="8" t="s">
        <v>561</v>
      </c>
    </row>
    <row r="18" customFormat="false" ht="23.85" hidden="false" customHeight="false" outlineLevel="0" collapsed="false">
      <c r="A18" s="8" t="s">
        <v>601</v>
      </c>
      <c r="B18" s="8" t="s">
        <v>574</v>
      </c>
      <c r="C18" s="8" t="s">
        <v>557</v>
      </c>
      <c r="D18" s="8" t="s">
        <v>602</v>
      </c>
      <c r="E18" s="8" t="s">
        <v>559</v>
      </c>
      <c r="F18" s="8" t="s">
        <v>575</v>
      </c>
      <c r="G18" s="8" t="s">
        <v>561</v>
      </c>
    </row>
    <row r="19" customFormat="false" ht="23.85" hidden="false" customHeight="false" outlineLevel="0" collapsed="false">
      <c r="A19" s="8" t="s">
        <v>603</v>
      </c>
      <c r="B19" s="8" t="s">
        <v>583</v>
      </c>
      <c r="C19" s="8" t="s">
        <v>589</v>
      </c>
      <c r="D19" s="8" t="s">
        <v>604</v>
      </c>
      <c r="E19" s="8" t="s">
        <v>559</v>
      </c>
      <c r="F19" s="8" t="s">
        <v>605</v>
      </c>
      <c r="G19" s="8" t="s">
        <v>561</v>
      </c>
    </row>
    <row r="20" customFormat="false" ht="23.85" hidden="false" customHeight="false" outlineLevel="0" collapsed="false">
      <c r="A20" s="8" t="s">
        <v>606</v>
      </c>
      <c r="B20" s="8" t="s">
        <v>569</v>
      </c>
      <c r="C20" s="8" t="s">
        <v>557</v>
      </c>
      <c r="D20" s="8" t="s">
        <v>607</v>
      </c>
      <c r="E20" s="8" t="s">
        <v>559</v>
      </c>
      <c r="F20" s="8" t="s">
        <v>608</v>
      </c>
      <c r="G20" s="8" t="s">
        <v>561</v>
      </c>
    </row>
    <row r="21" customFormat="false" ht="23.85" hidden="false" customHeight="false" outlineLevel="0" collapsed="false">
      <c r="A21" s="8" t="s">
        <v>609</v>
      </c>
      <c r="B21" s="8" t="s">
        <v>569</v>
      </c>
      <c r="C21" s="8" t="s">
        <v>557</v>
      </c>
      <c r="D21" s="8" t="s">
        <v>610</v>
      </c>
      <c r="E21" s="8" t="s">
        <v>559</v>
      </c>
      <c r="F21" s="8" t="s">
        <v>611</v>
      </c>
      <c r="G21" s="8" t="s">
        <v>561</v>
      </c>
    </row>
    <row r="22" customFormat="false" ht="23.85" hidden="false" customHeight="false" outlineLevel="0" collapsed="false">
      <c r="A22" s="8" t="s">
        <v>612</v>
      </c>
      <c r="B22" s="8" t="s">
        <v>569</v>
      </c>
      <c r="C22" s="8" t="s">
        <v>557</v>
      </c>
      <c r="D22" s="8" t="s">
        <v>467</v>
      </c>
      <c r="E22" s="8" t="s">
        <v>559</v>
      </c>
      <c r="F22" s="8" t="s">
        <v>613</v>
      </c>
      <c r="G22" s="8" t="s">
        <v>561</v>
      </c>
    </row>
    <row r="23" customFormat="false" ht="23.85" hidden="false" customHeight="false" outlineLevel="0" collapsed="false">
      <c r="A23" s="8" t="s">
        <v>614</v>
      </c>
      <c r="B23" s="8" t="s">
        <v>556</v>
      </c>
      <c r="C23" s="8" t="s">
        <v>557</v>
      </c>
      <c r="D23" s="8" t="s">
        <v>615</v>
      </c>
      <c r="E23" s="8" t="s">
        <v>559</v>
      </c>
      <c r="F23" s="8" t="s">
        <v>616</v>
      </c>
      <c r="G23" s="8" t="s">
        <v>561</v>
      </c>
    </row>
    <row r="24" customFormat="false" ht="23.85" hidden="false" customHeight="false" outlineLevel="0" collapsed="false">
      <c r="A24" s="8" t="s">
        <v>617</v>
      </c>
      <c r="B24" s="8" t="s">
        <v>618</v>
      </c>
      <c r="C24" s="8" t="s">
        <v>619</v>
      </c>
      <c r="D24" s="8" t="s">
        <v>620</v>
      </c>
      <c r="E24" s="8" t="s">
        <v>559</v>
      </c>
      <c r="F24" s="8" t="s">
        <v>621</v>
      </c>
      <c r="G24" s="8" t="s">
        <v>561</v>
      </c>
    </row>
    <row r="25" customFormat="false" ht="23.85" hidden="false" customHeight="false" outlineLevel="0" collapsed="false">
      <c r="A25" s="8" t="s">
        <v>622</v>
      </c>
      <c r="B25" s="8" t="s">
        <v>574</v>
      </c>
      <c r="C25" s="8" t="s">
        <v>619</v>
      </c>
      <c r="D25" s="8" t="s">
        <v>623</v>
      </c>
      <c r="E25" s="8" t="s">
        <v>559</v>
      </c>
      <c r="F25" s="8" t="s">
        <v>624</v>
      </c>
      <c r="G25" s="8" t="s">
        <v>561</v>
      </c>
    </row>
    <row r="26" customFormat="false" ht="23.85" hidden="false" customHeight="false" outlineLevel="0" collapsed="false">
      <c r="A26" s="8" t="s">
        <v>625</v>
      </c>
      <c r="B26" s="8" t="s">
        <v>574</v>
      </c>
      <c r="C26" s="8" t="s">
        <v>619</v>
      </c>
      <c r="D26" s="8" t="s">
        <v>623</v>
      </c>
      <c r="E26" s="8" t="s">
        <v>559</v>
      </c>
      <c r="F26" s="8" t="s">
        <v>626</v>
      </c>
      <c r="G26" s="8" t="s">
        <v>561</v>
      </c>
    </row>
    <row r="27" customFormat="false" ht="23.85" hidden="false" customHeight="false" outlineLevel="0" collapsed="false">
      <c r="A27" s="8" t="s">
        <v>627</v>
      </c>
      <c r="B27" s="8" t="s">
        <v>574</v>
      </c>
      <c r="C27" s="8" t="s">
        <v>557</v>
      </c>
      <c r="D27" s="8" t="s">
        <v>628</v>
      </c>
      <c r="E27" s="8" t="s">
        <v>559</v>
      </c>
      <c r="F27" s="8" t="s">
        <v>575</v>
      </c>
      <c r="G27" s="8" t="s">
        <v>561</v>
      </c>
    </row>
    <row r="28" customFormat="false" ht="23.85" hidden="false" customHeight="false" outlineLevel="0" collapsed="false">
      <c r="A28" s="8" t="s">
        <v>629</v>
      </c>
      <c r="B28" s="8" t="s">
        <v>574</v>
      </c>
      <c r="C28" s="8" t="s">
        <v>557</v>
      </c>
      <c r="D28" s="8" t="s">
        <v>630</v>
      </c>
      <c r="E28" s="8" t="s">
        <v>559</v>
      </c>
      <c r="F28" s="8" t="s">
        <v>631</v>
      </c>
      <c r="G28" s="8" t="s">
        <v>561</v>
      </c>
    </row>
    <row r="29" customFormat="false" ht="23.85" hidden="false" customHeight="false" outlineLevel="0" collapsed="false">
      <c r="A29" s="8" t="s">
        <v>632</v>
      </c>
      <c r="B29" s="8" t="s">
        <v>574</v>
      </c>
      <c r="C29" s="8" t="s">
        <v>557</v>
      </c>
      <c r="D29" s="8" t="s">
        <v>633</v>
      </c>
      <c r="E29" s="8" t="s">
        <v>559</v>
      </c>
      <c r="F29" s="8" t="s">
        <v>575</v>
      </c>
      <c r="G29" s="8" t="s">
        <v>561</v>
      </c>
    </row>
    <row r="30" customFormat="false" ht="23.85" hidden="false" customHeight="false" outlineLevel="0" collapsed="false">
      <c r="A30" s="8" t="s">
        <v>634</v>
      </c>
      <c r="B30" s="8" t="s">
        <v>574</v>
      </c>
      <c r="C30" s="8" t="s">
        <v>557</v>
      </c>
      <c r="D30" s="8" t="s">
        <v>577</v>
      </c>
      <c r="E30" s="8" t="s">
        <v>559</v>
      </c>
      <c r="F30" s="8" t="s">
        <v>575</v>
      </c>
      <c r="G30" s="8" t="s">
        <v>561</v>
      </c>
    </row>
    <row r="34" customFormat="false" ht="17.35" hidden="false" customHeight="false" outlineLevel="0" collapsed="false">
      <c r="A34" s="1" t="s">
        <v>635</v>
      </c>
    </row>
    <row r="35" customFormat="false" ht="15" hidden="false" customHeight="false" outlineLevel="0" collapsed="false">
      <c r="A35" s="4" t="s">
        <v>636</v>
      </c>
      <c r="B35" s="4" t="s">
        <v>637</v>
      </c>
      <c r="C35" s="4" t="s">
        <v>638</v>
      </c>
      <c r="D35" s="4" t="s">
        <v>639</v>
      </c>
    </row>
    <row r="36" customFormat="false" ht="57.45" hidden="false" customHeight="false" outlineLevel="0" collapsed="false">
      <c r="A36" s="9" t="s">
        <v>555</v>
      </c>
      <c r="B36" s="9" t="s">
        <v>640</v>
      </c>
      <c r="C36" s="9" t="s">
        <v>641</v>
      </c>
      <c r="D36" s="9" t="s">
        <v>642</v>
      </c>
    </row>
    <row r="37" customFormat="false" ht="35.05" hidden="false" customHeight="false" outlineLevel="0" collapsed="false">
      <c r="A37" s="9" t="s">
        <v>643</v>
      </c>
      <c r="B37" s="9" t="s">
        <v>644</v>
      </c>
      <c r="C37" s="9" t="s">
        <v>645</v>
      </c>
      <c r="D37" s="9" t="s">
        <v>646</v>
      </c>
    </row>
    <row r="38" customFormat="false" ht="35.05" hidden="false" customHeight="false" outlineLevel="0" collapsed="false">
      <c r="A38" s="9" t="s">
        <v>647</v>
      </c>
      <c r="B38" s="9" t="s">
        <v>648</v>
      </c>
      <c r="C38" s="9" t="s">
        <v>649</v>
      </c>
      <c r="D38" s="9" t="s">
        <v>650</v>
      </c>
    </row>
    <row r="39" customFormat="false" ht="35.05" hidden="false" customHeight="false" outlineLevel="0" collapsed="false">
      <c r="A39" s="9" t="s">
        <v>651</v>
      </c>
      <c r="B39" s="9" t="s">
        <v>652</v>
      </c>
      <c r="C39" s="9" t="s">
        <v>653</v>
      </c>
      <c r="D39" s="9" t="s">
        <v>654</v>
      </c>
    </row>
    <row r="40" customFormat="false" ht="23.85" hidden="false" customHeight="false" outlineLevel="0" collapsed="false">
      <c r="A40" s="9" t="s">
        <v>655</v>
      </c>
      <c r="B40" s="9" t="s">
        <v>656</v>
      </c>
      <c r="C40" s="9" t="s">
        <v>657</v>
      </c>
      <c r="D40" s="9" t="s">
        <v>658</v>
      </c>
    </row>
    <row r="41" customFormat="false" ht="23.85" hidden="false" customHeight="false" outlineLevel="0" collapsed="false">
      <c r="A41" s="9" t="s">
        <v>659</v>
      </c>
      <c r="B41" s="9" t="s">
        <v>660</v>
      </c>
      <c r="C41" s="9" t="s">
        <v>661</v>
      </c>
      <c r="D41" s="9" t="s">
        <v>662</v>
      </c>
    </row>
    <row r="42" customFormat="false" ht="23.85" hidden="false" customHeight="false" outlineLevel="0" collapsed="false">
      <c r="A42" s="9" t="s">
        <v>663</v>
      </c>
      <c r="B42" s="9" t="s">
        <v>664</v>
      </c>
      <c r="C42" s="9" t="s">
        <v>665</v>
      </c>
      <c r="D42" s="9" t="s">
        <v>666</v>
      </c>
    </row>
    <row r="43" customFormat="false" ht="23.85" hidden="false" customHeight="false" outlineLevel="0" collapsed="false">
      <c r="A43" s="9" t="s">
        <v>667</v>
      </c>
      <c r="B43" s="9" t="s">
        <v>668</v>
      </c>
      <c r="C43" s="9" t="s">
        <v>669</v>
      </c>
      <c r="D43" s="9" t="s">
        <v>670</v>
      </c>
    </row>
    <row r="46" customFormat="false" ht="17.35" hidden="false" customHeight="false" outlineLevel="0" collapsed="false">
      <c r="A46" s="1" t="s">
        <v>671</v>
      </c>
    </row>
    <row r="47" customFormat="false" ht="15" hidden="false" customHeight="false" outlineLevel="0" collapsed="false">
      <c r="A47" s="2" t="s">
        <v>258</v>
      </c>
      <c r="B47" s="2" t="s">
        <v>672</v>
      </c>
    </row>
    <row r="48" customFormat="false" ht="15" hidden="false" customHeight="false" outlineLevel="0" collapsed="false">
      <c r="A48" s="2" t="s">
        <v>268</v>
      </c>
      <c r="B48" s="2" t="s">
        <v>673</v>
      </c>
    </row>
    <row r="49" customFormat="false" ht="15" hidden="false" customHeight="false" outlineLevel="0" collapsed="false">
      <c r="A49" s="2" t="s">
        <v>278</v>
      </c>
      <c r="B49" s="2" t="s">
        <v>674</v>
      </c>
    </row>
    <row r="50" customFormat="false" ht="15" hidden="false" customHeight="false" outlineLevel="0" collapsed="false">
      <c r="A50" s="2" t="s">
        <v>675</v>
      </c>
      <c r="B50" s="2" t="s">
        <v>676</v>
      </c>
    </row>
  </sheetData>
  <autoFilter ref="A3:G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34"/>
    <col collapsed="false" customWidth="true" hidden="false" outlineLevel="0" max="9" min="7" style="0" width="18"/>
    <col collapsed="false" customWidth="true" hidden="false" outlineLevel="0" max="10" min="10" style="0" width="12"/>
    <col collapsed="false" customWidth="true" hidden="false" outlineLevel="0" max="11" min="11" style="0" width="52"/>
    <col collapsed="false" customWidth="true" hidden="false" outlineLevel="0" max="12" min="12" style="0" width="30"/>
    <col collapsed="false" customWidth="true" hidden="false" outlineLevel="0" max="13" min="13" style="0" width="38"/>
    <col collapsed="false" customWidth="true" hidden="false" outlineLevel="0" max="14" min="14" style="0" width="12"/>
    <col collapsed="false" customWidth="true" hidden="false" outlineLevel="0" max="15" min="15" style="0" width="30"/>
    <col collapsed="false" customWidth="true" hidden="false" outlineLevel="0" max="16" min="16" style="0" width="18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30"/>
  </cols>
  <sheetData>
    <row r="1" customFormat="false" ht="17.35" hidden="false" customHeight="false" outlineLevel="0" collapsed="false">
      <c r="A1" s="1" t="s">
        <v>677</v>
      </c>
    </row>
    <row r="2" customFormat="false" ht="15" hidden="false" customHeight="false" outlineLevel="0" collapsed="false">
      <c r="A2" s="6" t="s">
        <v>51</v>
      </c>
    </row>
    <row r="3" customFormat="false" ht="23.85" hidden="false" customHeight="false" outlineLevel="0" collapsed="false">
      <c r="A3" s="7" t="s">
        <v>678</v>
      </c>
      <c r="B3" s="7" t="s">
        <v>679</v>
      </c>
      <c r="C3" s="7" t="s">
        <v>252</v>
      </c>
      <c r="D3" s="7" t="s">
        <v>680</v>
      </c>
      <c r="E3" s="7" t="s">
        <v>681</v>
      </c>
      <c r="F3" s="7" t="s">
        <v>637</v>
      </c>
      <c r="G3" s="7" t="s">
        <v>682</v>
      </c>
      <c r="H3" s="7" t="s">
        <v>683</v>
      </c>
      <c r="I3" s="7" t="s">
        <v>684</v>
      </c>
      <c r="J3" s="7" t="s">
        <v>685</v>
      </c>
      <c r="K3" s="7" t="s">
        <v>686</v>
      </c>
      <c r="L3" s="7" t="s">
        <v>687</v>
      </c>
      <c r="M3" s="7" t="s">
        <v>554</v>
      </c>
      <c r="N3" s="7" t="s">
        <v>54</v>
      </c>
      <c r="O3" s="7" t="s">
        <v>688</v>
      </c>
      <c r="P3" s="7" t="s">
        <v>689</v>
      </c>
      <c r="Q3" s="7" t="s">
        <v>690</v>
      </c>
      <c r="R3" s="7" t="s">
        <v>421</v>
      </c>
      <c r="S3" s="7" t="s">
        <v>691</v>
      </c>
    </row>
    <row r="4" customFormat="false" ht="35.05" hidden="false" customHeight="false" outlineLevel="0" collapsed="false">
      <c r="A4" s="8" t="s">
        <v>423</v>
      </c>
      <c r="B4" s="8" t="s">
        <v>692</v>
      </c>
      <c r="C4" s="8" t="s">
        <v>693</v>
      </c>
      <c r="D4" s="8" t="s">
        <v>694</v>
      </c>
      <c r="E4" s="8" t="s">
        <v>695</v>
      </c>
      <c r="F4" s="8" t="s">
        <v>696</v>
      </c>
      <c r="G4" s="8" t="s">
        <v>697</v>
      </c>
      <c r="H4" s="8" t="s">
        <v>698</v>
      </c>
      <c r="I4" s="8" t="s">
        <v>699</v>
      </c>
      <c r="J4" s="8" t="s">
        <v>94</v>
      </c>
      <c r="K4" s="8" t="s">
        <v>700</v>
      </c>
      <c r="L4" s="8" t="s">
        <v>701</v>
      </c>
      <c r="M4" s="8" t="s">
        <v>702</v>
      </c>
      <c r="N4" s="8" t="s">
        <v>424</v>
      </c>
      <c r="O4" s="8" t="s">
        <v>703</v>
      </c>
      <c r="P4" s="8" t="s">
        <v>704</v>
      </c>
      <c r="Q4" s="8" t="s">
        <v>115</v>
      </c>
      <c r="R4" s="8" t="s">
        <v>138</v>
      </c>
      <c r="S4" s="8" t="s">
        <v>705</v>
      </c>
    </row>
    <row r="5" customFormat="false" ht="23.85" hidden="false" customHeight="false" outlineLevel="0" collapsed="false">
      <c r="A5" s="8" t="s">
        <v>426</v>
      </c>
      <c r="B5" s="8" t="s">
        <v>692</v>
      </c>
      <c r="C5" s="8" t="s">
        <v>706</v>
      </c>
      <c r="D5" s="8" t="s">
        <v>694</v>
      </c>
      <c r="E5" s="8" t="s">
        <v>707</v>
      </c>
      <c r="F5" s="8" t="s">
        <v>708</v>
      </c>
      <c r="G5" s="8" t="s">
        <v>697</v>
      </c>
      <c r="H5" s="8" t="s">
        <v>698</v>
      </c>
      <c r="I5" s="8" t="s">
        <v>699</v>
      </c>
      <c r="J5" s="8" t="s">
        <v>94</v>
      </c>
      <c r="K5" s="8" t="s">
        <v>709</v>
      </c>
      <c r="L5" s="8" t="s">
        <v>710</v>
      </c>
      <c r="M5" s="8" t="s">
        <v>711</v>
      </c>
      <c r="N5" s="8" t="s">
        <v>424</v>
      </c>
      <c r="O5" s="8" t="s">
        <v>712</v>
      </c>
      <c r="P5" s="8" t="s">
        <v>713</v>
      </c>
      <c r="Q5" s="8" t="s">
        <v>115</v>
      </c>
      <c r="R5" s="8" t="s">
        <v>132</v>
      </c>
      <c r="S5" s="8" t="s">
        <v>15</v>
      </c>
    </row>
    <row r="6" customFormat="false" ht="23.85" hidden="false" customHeight="false" outlineLevel="0" collapsed="false">
      <c r="A6" s="8" t="s">
        <v>428</v>
      </c>
      <c r="B6" s="8" t="s">
        <v>692</v>
      </c>
      <c r="C6" s="8" t="s">
        <v>714</v>
      </c>
      <c r="D6" s="8" t="s">
        <v>694</v>
      </c>
      <c r="E6" s="8" t="s">
        <v>715</v>
      </c>
      <c r="F6" s="8" t="s">
        <v>269</v>
      </c>
      <c r="G6" s="8" t="s">
        <v>697</v>
      </c>
      <c r="H6" s="8" t="s">
        <v>698</v>
      </c>
      <c r="I6" s="8" t="s">
        <v>699</v>
      </c>
      <c r="J6" s="8" t="s">
        <v>94</v>
      </c>
      <c r="K6" s="8" t="s">
        <v>716</v>
      </c>
      <c r="L6" s="8" t="s">
        <v>717</v>
      </c>
      <c r="M6" s="8" t="s">
        <v>718</v>
      </c>
      <c r="N6" s="8" t="s">
        <v>424</v>
      </c>
      <c r="O6" s="8" t="s">
        <v>719</v>
      </c>
      <c r="P6" s="8" t="s">
        <v>720</v>
      </c>
      <c r="Q6" s="8" t="s">
        <v>115</v>
      </c>
      <c r="R6" s="8" t="s">
        <v>138</v>
      </c>
      <c r="S6" s="8" t="s">
        <v>15</v>
      </c>
    </row>
    <row r="7" customFormat="false" ht="23.85" hidden="false" customHeight="false" outlineLevel="0" collapsed="false">
      <c r="A7" s="8" t="s">
        <v>430</v>
      </c>
      <c r="B7" s="8" t="s">
        <v>692</v>
      </c>
      <c r="C7" s="8" t="s">
        <v>714</v>
      </c>
      <c r="D7" s="8" t="s">
        <v>694</v>
      </c>
      <c r="E7" s="8" t="s">
        <v>721</v>
      </c>
      <c r="F7" s="8" t="s">
        <v>722</v>
      </c>
      <c r="G7" s="8" t="s">
        <v>697</v>
      </c>
      <c r="H7" s="8" t="s">
        <v>698</v>
      </c>
      <c r="I7" s="8" t="s">
        <v>699</v>
      </c>
      <c r="J7" s="8" t="s">
        <v>94</v>
      </c>
      <c r="K7" s="8" t="s">
        <v>723</v>
      </c>
      <c r="L7" s="8" t="s">
        <v>15</v>
      </c>
      <c r="M7" s="8" t="s">
        <v>724</v>
      </c>
      <c r="N7" s="8" t="s">
        <v>431</v>
      </c>
      <c r="O7" s="8" t="s">
        <v>725</v>
      </c>
      <c r="P7" s="8" t="s">
        <v>726</v>
      </c>
      <c r="Q7" s="8" t="s">
        <v>115</v>
      </c>
      <c r="R7" s="8" t="s">
        <v>204</v>
      </c>
      <c r="S7" s="8" t="s">
        <v>15</v>
      </c>
    </row>
    <row r="8" customFormat="false" ht="23.85" hidden="false" customHeight="false" outlineLevel="0" collapsed="false">
      <c r="A8" s="8" t="s">
        <v>727</v>
      </c>
      <c r="B8" s="8" t="s">
        <v>692</v>
      </c>
      <c r="C8" s="8" t="s">
        <v>728</v>
      </c>
      <c r="D8" s="8" t="s">
        <v>694</v>
      </c>
      <c r="E8" s="8" t="s">
        <v>729</v>
      </c>
      <c r="F8" s="8" t="s">
        <v>730</v>
      </c>
      <c r="G8" s="8" t="s">
        <v>697</v>
      </c>
      <c r="H8" s="8" t="s">
        <v>698</v>
      </c>
      <c r="I8" s="8" t="s">
        <v>699</v>
      </c>
      <c r="J8" s="8" t="s">
        <v>94</v>
      </c>
      <c r="K8" s="8" t="s">
        <v>723</v>
      </c>
      <c r="L8" s="8" t="s">
        <v>15</v>
      </c>
      <c r="M8" s="8" t="s">
        <v>731</v>
      </c>
      <c r="N8" s="8" t="s">
        <v>431</v>
      </c>
      <c r="O8" s="8" t="s">
        <v>732</v>
      </c>
      <c r="P8" s="8" t="s">
        <v>733</v>
      </c>
      <c r="Q8" s="8" t="s">
        <v>115</v>
      </c>
      <c r="R8" s="8" t="s">
        <v>132</v>
      </c>
      <c r="S8" s="8" t="s">
        <v>15</v>
      </c>
    </row>
    <row r="9" customFormat="false" ht="23.85" hidden="false" customHeight="false" outlineLevel="0" collapsed="false">
      <c r="A9" s="8" t="s">
        <v>734</v>
      </c>
      <c r="B9" s="8" t="s">
        <v>692</v>
      </c>
      <c r="C9" s="8" t="s">
        <v>728</v>
      </c>
      <c r="D9" s="8" t="s">
        <v>694</v>
      </c>
      <c r="E9" s="8" t="s">
        <v>735</v>
      </c>
      <c r="F9" s="8" t="s">
        <v>736</v>
      </c>
      <c r="G9" s="8" t="s">
        <v>697</v>
      </c>
      <c r="H9" s="8" t="s">
        <v>698</v>
      </c>
      <c r="I9" s="8" t="s">
        <v>699</v>
      </c>
      <c r="J9" s="8" t="s">
        <v>94</v>
      </c>
      <c r="K9" s="8" t="s">
        <v>737</v>
      </c>
      <c r="L9" s="8" t="s">
        <v>738</v>
      </c>
      <c r="M9" s="8" t="s">
        <v>739</v>
      </c>
      <c r="N9" s="8" t="s">
        <v>431</v>
      </c>
      <c r="O9" s="8" t="s">
        <v>740</v>
      </c>
      <c r="P9" s="8" t="s">
        <v>733</v>
      </c>
      <c r="Q9" s="8" t="s">
        <v>115</v>
      </c>
      <c r="R9" s="8" t="s">
        <v>132</v>
      </c>
      <c r="S9" s="8" t="s">
        <v>15</v>
      </c>
    </row>
    <row r="10" customFormat="false" ht="35.05" hidden="false" customHeight="false" outlineLevel="0" collapsed="false">
      <c r="A10" s="8" t="s">
        <v>436</v>
      </c>
      <c r="B10" s="8" t="s">
        <v>692</v>
      </c>
      <c r="C10" s="8" t="s">
        <v>597</v>
      </c>
      <c r="D10" s="8" t="s">
        <v>741</v>
      </c>
      <c r="E10" s="8" t="s">
        <v>742</v>
      </c>
      <c r="F10" s="8" t="s">
        <v>743</v>
      </c>
      <c r="G10" s="8" t="s">
        <v>697</v>
      </c>
      <c r="H10" s="8" t="s">
        <v>698</v>
      </c>
      <c r="I10" s="8" t="s">
        <v>699</v>
      </c>
      <c r="J10" s="8" t="s">
        <v>94</v>
      </c>
      <c r="K10" s="8" t="s">
        <v>744</v>
      </c>
      <c r="L10" s="8" t="s">
        <v>745</v>
      </c>
      <c r="M10" s="8" t="s">
        <v>746</v>
      </c>
      <c r="N10" s="8" t="s">
        <v>424</v>
      </c>
      <c r="O10" s="8" t="s">
        <v>747</v>
      </c>
      <c r="P10" s="8" t="s">
        <v>748</v>
      </c>
      <c r="Q10" s="8" t="s">
        <v>115</v>
      </c>
      <c r="R10" s="8" t="s">
        <v>132</v>
      </c>
      <c r="S10" s="8" t="s">
        <v>15</v>
      </c>
    </row>
    <row r="11" customFormat="false" ht="23.85" hidden="false" customHeight="false" outlineLevel="0" collapsed="false">
      <c r="A11" s="8" t="s">
        <v>438</v>
      </c>
      <c r="B11" s="8" t="s">
        <v>692</v>
      </c>
      <c r="C11" s="8" t="s">
        <v>749</v>
      </c>
      <c r="D11" s="8" t="s">
        <v>741</v>
      </c>
      <c r="E11" s="8" t="s">
        <v>750</v>
      </c>
      <c r="F11" s="8" t="s">
        <v>751</v>
      </c>
      <c r="G11" s="8" t="s">
        <v>697</v>
      </c>
      <c r="H11" s="8" t="s">
        <v>698</v>
      </c>
      <c r="I11" s="8" t="s">
        <v>699</v>
      </c>
      <c r="J11" s="8" t="s">
        <v>94</v>
      </c>
      <c r="K11" s="8" t="s">
        <v>752</v>
      </c>
      <c r="L11" s="8" t="s">
        <v>753</v>
      </c>
      <c r="M11" s="8" t="s">
        <v>754</v>
      </c>
      <c r="N11" s="8" t="s">
        <v>424</v>
      </c>
      <c r="O11" s="8" t="s">
        <v>437</v>
      </c>
      <c r="P11" s="8" t="s">
        <v>755</v>
      </c>
      <c r="Q11" s="8" t="s">
        <v>115</v>
      </c>
      <c r="R11" s="8" t="s">
        <v>156</v>
      </c>
      <c r="S11" s="8" t="s">
        <v>15</v>
      </c>
    </row>
    <row r="12" customFormat="false" ht="23.85" hidden="false" customHeight="false" outlineLevel="0" collapsed="false">
      <c r="A12" s="8" t="s">
        <v>440</v>
      </c>
      <c r="B12" s="8" t="s">
        <v>756</v>
      </c>
      <c r="C12" s="8" t="s">
        <v>757</v>
      </c>
      <c r="D12" s="8" t="s">
        <v>694</v>
      </c>
      <c r="E12" s="8" t="s">
        <v>758</v>
      </c>
      <c r="F12" s="8" t="s">
        <v>759</v>
      </c>
      <c r="G12" s="8" t="s">
        <v>697</v>
      </c>
      <c r="H12" s="8" t="s">
        <v>698</v>
      </c>
      <c r="I12" s="8" t="s">
        <v>699</v>
      </c>
      <c r="J12" s="8" t="s">
        <v>94</v>
      </c>
      <c r="K12" s="8" t="s">
        <v>760</v>
      </c>
      <c r="L12" s="8" t="s">
        <v>761</v>
      </c>
      <c r="M12" s="8" t="s">
        <v>762</v>
      </c>
      <c r="N12" s="8" t="s">
        <v>431</v>
      </c>
      <c r="O12" s="8" t="s">
        <v>763</v>
      </c>
      <c r="P12" s="8" t="s">
        <v>764</v>
      </c>
      <c r="Q12" s="8" t="s">
        <v>115</v>
      </c>
      <c r="R12" s="8" t="s">
        <v>132</v>
      </c>
      <c r="S12" s="8" t="s">
        <v>765</v>
      </c>
    </row>
    <row r="13" customFormat="false" ht="23.85" hidden="false" customHeight="false" outlineLevel="0" collapsed="false">
      <c r="A13" s="8" t="s">
        <v>442</v>
      </c>
      <c r="B13" s="8" t="s">
        <v>756</v>
      </c>
      <c r="C13" s="8" t="s">
        <v>757</v>
      </c>
      <c r="D13" s="8" t="s">
        <v>694</v>
      </c>
      <c r="E13" s="8" t="s">
        <v>766</v>
      </c>
      <c r="F13" s="8" t="s">
        <v>767</v>
      </c>
      <c r="G13" s="8" t="s">
        <v>697</v>
      </c>
      <c r="H13" s="8" t="s">
        <v>698</v>
      </c>
      <c r="I13" s="8" t="s">
        <v>699</v>
      </c>
      <c r="J13" s="8" t="s">
        <v>94</v>
      </c>
      <c r="K13" s="8" t="s">
        <v>768</v>
      </c>
      <c r="L13" s="8" t="s">
        <v>15</v>
      </c>
      <c r="M13" s="8" t="s">
        <v>769</v>
      </c>
      <c r="N13" s="8" t="s">
        <v>431</v>
      </c>
      <c r="O13" s="8" t="s">
        <v>441</v>
      </c>
      <c r="P13" s="8" t="s">
        <v>764</v>
      </c>
      <c r="Q13" s="8" t="s">
        <v>115</v>
      </c>
      <c r="R13" s="8" t="s">
        <v>156</v>
      </c>
      <c r="S13" s="8" t="s">
        <v>15</v>
      </c>
    </row>
    <row r="14" customFormat="false" ht="23.85" hidden="false" customHeight="false" outlineLevel="0" collapsed="false">
      <c r="A14" s="8" t="s">
        <v>444</v>
      </c>
      <c r="B14" s="8" t="s">
        <v>756</v>
      </c>
      <c r="C14" s="8" t="s">
        <v>757</v>
      </c>
      <c r="D14" s="8" t="s">
        <v>694</v>
      </c>
      <c r="E14" s="8" t="s">
        <v>305</v>
      </c>
      <c r="F14" s="8" t="s">
        <v>770</v>
      </c>
      <c r="G14" s="8" t="s">
        <v>697</v>
      </c>
      <c r="H14" s="8" t="s">
        <v>698</v>
      </c>
      <c r="I14" s="8" t="s">
        <v>699</v>
      </c>
      <c r="J14" s="8" t="s">
        <v>94</v>
      </c>
      <c r="K14" s="8" t="s">
        <v>771</v>
      </c>
      <c r="L14" s="8" t="s">
        <v>772</v>
      </c>
      <c r="M14" s="8" t="s">
        <v>773</v>
      </c>
      <c r="N14" s="8" t="s">
        <v>424</v>
      </c>
      <c r="O14" s="8" t="s">
        <v>774</v>
      </c>
      <c r="P14" s="8" t="s">
        <v>775</v>
      </c>
      <c r="Q14" s="8" t="s">
        <v>115</v>
      </c>
      <c r="R14" s="8" t="s">
        <v>138</v>
      </c>
      <c r="S14" s="8" t="s">
        <v>776</v>
      </c>
    </row>
    <row r="15" customFormat="false" ht="35.05" hidden="false" customHeight="false" outlineLevel="0" collapsed="false">
      <c r="A15" s="8" t="s">
        <v>446</v>
      </c>
      <c r="B15" s="8" t="s">
        <v>756</v>
      </c>
      <c r="C15" s="8" t="s">
        <v>757</v>
      </c>
      <c r="D15" s="8" t="s">
        <v>419</v>
      </c>
      <c r="E15" s="8" t="s">
        <v>777</v>
      </c>
      <c r="F15" s="8" t="s">
        <v>778</v>
      </c>
      <c r="G15" s="8" t="s">
        <v>697</v>
      </c>
      <c r="H15" s="8" t="s">
        <v>698</v>
      </c>
      <c r="I15" s="8" t="s">
        <v>699</v>
      </c>
      <c r="J15" s="8" t="s">
        <v>94</v>
      </c>
      <c r="K15" s="8" t="s">
        <v>779</v>
      </c>
      <c r="L15" s="8" t="s">
        <v>780</v>
      </c>
      <c r="M15" s="8" t="s">
        <v>781</v>
      </c>
      <c r="N15" s="8" t="s">
        <v>424</v>
      </c>
      <c r="O15" s="8" t="s">
        <v>782</v>
      </c>
      <c r="P15" s="8" t="s">
        <v>783</v>
      </c>
      <c r="Q15" s="8" t="s">
        <v>115</v>
      </c>
      <c r="R15" s="8" t="s">
        <v>138</v>
      </c>
      <c r="S15" s="8" t="s">
        <v>784</v>
      </c>
    </row>
    <row r="16" customFormat="false" ht="35.05" hidden="false" customHeight="false" outlineLevel="0" collapsed="false">
      <c r="A16" s="8" t="s">
        <v>785</v>
      </c>
      <c r="B16" s="8" t="s">
        <v>756</v>
      </c>
      <c r="C16" s="8" t="s">
        <v>757</v>
      </c>
      <c r="D16" s="8" t="s">
        <v>741</v>
      </c>
      <c r="E16" s="8" t="s">
        <v>786</v>
      </c>
      <c r="F16" s="8" t="s">
        <v>787</v>
      </c>
      <c r="G16" s="8" t="s">
        <v>697</v>
      </c>
      <c r="H16" s="8" t="s">
        <v>698</v>
      </c>
      <c r="I16" s="8" t="s">
        <v>699</v>
      </c>
      <c r="J16" s="8" t="s">
        <v>94</v>
      </c>
      <c r="K16" s="8" t="s">
        <v>788</v>
      </c>
      <c r="L16" s="8" t="s">
        <v>789</v>
      </c>
      <c r="M16" s="8" t="s">
        <v>790</v>
      </c>
      <c r="N16" s="8" t="s">
        <v>424</v>
      </c>
      <c r="O16" s="8" t="s">
        <v>791</v>
      </c>
      <c r="P16" s="8" t="s">
        <v>792</v>
      </c>
      <c r="Q16" s="8" t="s">
        <v>115</v>
      </c>
      <c r="R16" s="8" t="s">
        <v>132</v>
      </c>
      <c r="S16" s="8" t="s">
        <v>793</v>
      </c>
    </row>
    <row r="17" customFormat="false" ht="23.85" hidden="false" customHeight="false" outlineLevel="0" collapsed="false">
      <c r="A17" s="8" t="s">
        <v>794</v>
      </c>
      <c r="B17" s="8" t="s">
        <v>756</v>
      </c>
      <c r="C17" s="8" t="s">
        <v>757</v>
      </c>
      <c r="D17" s="8" t="s">
        <v>694</v>
      </c>
      <c r="E17" s="8" t="s">
        <v>795</v>
      </c>
      <c r="F17" s="8" t="s">
        <v>796</v>
      </c>
      <c r="G17" s="8" t="s">
        <v>697</v>
      </c>
      <c r="H17" s="8" t="s">
        <v>698</v>
      </c>
      <c r="I17" s="8" t="s">
        <v>699</v>
      </c>
      <c r="J17" s="8" t="s">
        <v>94</v>
      </c>
      <c r="K17" s="8" t="s">
        <v>797</v>
      </c>
      <c r="L17" s="8" t="s">
        <v>15</v>
      </c>
      <c r="M17" s="8" t="s">
        <v>798</v>
      </c>
      <c r="N17" s="8" t="s">
        <v>431</v>
      </c>
      <c r="O17" s="8" t="s">
        <v>799</v>
      </c>
      <c r="P17" s="8" t="s">
        <v>800</v>
      </c>
      <c r="Q17" s="8" t="s">
        <v>115</v>
      </c>
      <c r="R17" s="8" t="s">
        <v>132</v>
      </c>
      <c r="S17" s="8" t="s">
        <v>801</v>
      </c>
    </row>
    <row r="18" customFormat="false" ht="23.85" hidden="false" customHeight="false" outlineLevel="0" collapsed="false">
      <c r="A18" s="8" t="s">
        <v>454</v>
      </c>
      <c r="B18" s="8" t="s">
        <v>802</v>
      </c>
      <c r="C18" s="8" t="s">
        <v>803</v>
      </c>
      <c r="D18" s="8" t="s">
        <v>419</v>
      </c>
      <c r="E18" s="8" t="s">
        <v>804</v>
      </c>
      <c r="F18" s="8" t="s">
        <v>805</v>
      </c>
      <c r="G18" s="8" t="s">
        <v>697</v>
      </c>
      <c r="H18" s="8" t="s">
        <v>698</v>
      </c>
      <c r="I18" s="8" t="s">
        <v>699</v>
      </c>
      <c r="J18" s="8" t="s">
        <v>94</v>
      </c>
      <c r="K18" s="8" t="s">
        <v>806</v>
      </c>
      <c r="L18" s="8" t="s">
        <v>807</v>
      </c>
      <c r="M18" s="8" t="s">
        <v>808</v>
      </c>
      <c r="N18" s="8" t="s">
        <v>424</v>
      </c>
      <c r="O18" s="8" t="s">
        <v>809</v>
      </c>
      <c r="P18" s="8" t="s">
        <v>810</v>
      </c>
      <c r="Q18" s="8" t="s">
        <v>115</v>
      </c>
      <c r="R18" s="8" t="s">
        <v>138</v>
      </c>
      <c r="S18" s="8" t="s">
        <v>811</v>
      </c>
    </row>
    <row r="19" customFormat="false" ht="35.05" hidden="false" customHeight="false" outlineLevel="0" collapsed="false">
      <c r="A19" s="8" t="s">
        <v>456</v>
      </c>
      <c r="B19" s="8" t="s">
        <v>802</v>
      </c>
      <c r="C19" s="8" t="s">
        <v>803</v>
      </c>
      <c r="D19" s="8" t="s">
        <v>741</v>
      </c>
      <c r="E19" s="8" t="s">
        <v>812</v>
      </c>
      <c r="F19" s="8" t="s">
        <v>813</v>
      </c>
      <c r="G19" s="8" t="s">
        <v>697</v>
      </c>
      <c r="H19" s="8" t="s">
        <v>698</v>
      </c>
      <c r="I19" s="8" t="s">
        <v>699</v>
      </c>
      <c r="J19" s="8" t="s">
        <v>94</v>
      </c>
      <c r="K19" s="8" t="s">
        <v>814</v>
      </c>
      <c r="L19" s="8" t="s">
        <v>815</v>
      </c>
      <c r="M19" s="8" t="s">
        <v>816</v>
      </c>
      <c r="N19" s="8" t="s">
        <v>424</v>
      </c>
      <c r="O19" s="8" t="s">
        <v>817</v>
      </c>
      <c r="P19" s="8" t="s">
        <v>818</v>
      </c>
      <c r="Q19" s="8" t="s">
        <v>115</v>
      </c>
      <c r="R19" s="8" t="s">
        <v>132</v>
      </c>
      <c r="S19" s="8" t="s">
        <v>819</v>
      </c>
    </row>
    <row r="20" customFormat="false" ht="23.85" hidden="false" customHeight="false" outlineLevel="0" collapsed="false">
      <c r="A20" s="8" t="s">
        <v>820</v>
      </c>
      <c r="B20" s="8" t="s">
        <v>802</v>
      </c>
      <c r="C20" s="8" t="s">
        <v>803</v>
      </c>
      <c r="D20" s="8" t="s">
        <v>741</v>
      </c>
      <c r="E20" s="8" t="s">
        <v>821</v>
      </c>
      <c r="F20" s="8" t="s">
        <v>822</v>
      </c>
      <c r="G20" s="8" t="s">
        <v>697</v>
      </c>
      <c r="H20" s="8" t="s">
        <v>698</v>
      </c>
      <c r="I20" s="8" t="s">
        <v>699</v>
      </c>
      <c r="J20" s="8" t="s">
        <v>94</v>
      </c>
      <c r="K20" s="8" t="s">
        <v>823</v>
      </c>
      <c r="L20" s="8" t="s">
        <v>824</v>
      </c>
      <c r="M20" s="8" t="s">
        <v>825</v>
      </c>
      <c r="N20" s="8" t="s">
        <v>424</v>
      </c>
      <c r="O20" s="8" t="s">
        <v>826</v>
      </c>
      <c r="P20" s="8" t="s">
        <v>827</v>
      </c>
      <c r="Q20" s="8" t="s">
        <v>115</v>
      </c>
      <c r="R20" s="8" t="s">
        <v>132</v>
      </c>
      <c r="S20" s="8" t="s">
        <v>15</v>
      </c>
    </row>
    <row r="21" customFormat="false" ht="35.05" hidden="false" customHeight="false" outlineLevel="0" collapsed="false">
      <c r="A21" s="8" t="s">
        <v>828</v>
      </c>
      <c r="B21" s="8" t="s">
        <v>802</v>
      </c>
      <c r="C21" s="8" t="s">
        <v>803</v>
      </c>
      <c r="D21" s="8" t="s">
        <v>741</v>
      </c>
      <c r="E21" s="8" t="s">
        <v>829</v>
      </c>
      <c r="F21" s="8" t="s">
        <v>830</v>
      </c>
      <c r="G21" s="8" t="s">
        <v>697</v>
      </c>
      <c r="H21" s="8" t="s">
        <v>698</v>
      </c>
      <c r="I21" s="8" t="s">
        <v>699</v>
      </c>
      <c r="J21" s="8" t="s">
        <v>94</v>
      </c>
      <c r="K21" s="8" t="s">
        <v>831</v>
      </c>
      <c r="L21" s="8" t="s">
        <v>15</v>
      </c>
      <c r="M21" s="8" t="s">
        <v>832</v>
      </c>
      <c r="N21" s="8" t="s">
        <v>424</v>
      </c>
      <c r="O21" s="8" t="s">
        <v>833</v>
      </c>
      <c r="P21" s="8" t="s">
        <v>827</v>
      </c>
      <c r="Q21" s="8" t="s">
        <v>115</v>
      </c>
      <c r="R21" s="8" t="s">
        <v>156</v>
      </c>
      <c r="S21" s="8" t="s">
        <v>15</v>
      </c>
    </row>
    <row r="22" customFormat="false" ht="23.85" hidden="false" customHeight="false" outlineLevel="0" collapsed="false">
      <c r="A22" s="8" t="s">
        <v>460</v>
      </c>
      <c r="B22" s="8" t="s">
        <v>834</v>
      </c>
      <c r="C22" s="8" t="s">
        <v>835</v>
      </c>
      <c r="D22" s="8" t="s">
        <v>694</v>
      </c>
      <c r="E22" s="8" t="s">
        <v>836</v>
      </c>
      <c r="F22" s="8" t="s">
        <v>837</v>
      </c>
      <c r="G22" s="8" t="s">
        <v>697</v>
      </c>
      <c r="H22" s="8" t="s">
        <v>698</v>
      </c>
      <c r="I22" s="8" t="s">
        <v>699</v>
      </c>
      <c r="J22" s="8" t="s">
        <v>94</v>
      </c>
      <c r="K22" s="8" t="s">
        <v>838</v>
      </c>
      <c r="L22" s="8" t="s">
        <v>839</v>
      </c>
      <c r="M22" s="8" t="s">
        <v>840</v>
      </c>
      <c r="N22" s="8" t="s">
        <v>424</v>
      </c>
      <c r="O22" s="8" t="s">
        <v>841</v>
      </c>
      <c r="P22" s="8" t="s">
        <v>842</v>
      </c>
      <c r="Q22" s="8" t="s">
        <v>115</v>
      </c>
      <c r="R22" s="8" t="s">
        <v>132</v>
      </c>
      <c r="S22" s="8" t="s">
        <v>460</v>
      </c>
    </row>
    <row r="23" customFormat="false" ht="23.85" hidden="false" customHeight="false" outlineLevel="0" collapsed="false">
      <c r="A23" s="8" t="s">
        <v>462</v>
      </c>
      <c r="B23" s="8" t="s">
        <v>834</v>
      </c>
      <c r="C23" s="8" t="s">
        <v>843</v>
      </c>
      <c r="D23" s="8" t="s">
        <v>741</v>
      </c>
      <c r="E23" s="8" t="s">
        <v>844</v>
      </c>
      <c r="F23" s="8" t="s">
        <v>845</v>
      </c>
      <c r="G23" s="8" t="s">
        <v>697</v>
      </c>
      <c r="H23" s="8" t="s">
        <v>698</v>
      </c>
      <c r="I23" s="8" t="s">
        <v>699</v>
      </c>
      <c r="J23" s="8" t="s">
        <v>94</v>
      </c>
      <c r="K23" s="8" t="s">
        <v>846</v>
      </c>
      <c r="L23" s="8" t="s">
        <v>15</v>
      </c>
      <c r="M23" s="8" t="s">
        <v>847</v>
      </c>
      <c r="N23" s="8" t="s">
        <v>424</v>
      </c>
      <c r="O23" s="8" t="s">
        <v>848</v>
      </c>
      <c r="P23" s="8" t="s">
        <v>849</v>
      </c>
      <c r="Q23" s="8" t="s">
        <v>115</v>
      </c>
      <c r="R23" s="8" t="s">
        <v>156</v>
      </c>
      <c r="S23" s="8" t="s">
        <v>850</v>
      </c>
    </row>
    <row r="24" customFormat="false" ht="23.85" hidden="false" customHeight="false" outlineLevel="0" collapsed="false">
      <c r="A24" s="8" t="s">
        <v>851</v>
      </c>
      <c r="B24" s="8" t="s">
        <v>834</v>
      </c>
      <c r="C24" s="8" t="s">
        <v>852</v>
      </c>
      <c r="D24" s="8" t="s">
        <v>694</v>
      </c>
      <c r="E24" s="8" t="s">
        <v>853</v>
      </c>
      <c r="F24" s="8" t="s">
        <v>854</v>
      </c>
      <c r="G24" s="8" t="s">
        <v>697</v>
      </c>
      <c r="H24" s="8" t="s">
        <v>698</v>
      </c>
      <c r="I24" s="8" t="s">
        <v>699</v>
      </c>
      <c r="J24" s="8" t="s">
        <v>94</v>
      </c>
      <c r="K24" s="8" t="s">
        <v>855</v>
      </c>
      <c r="L24" s="8" t="s">
        <v>15</v>
      </c>
      <c r="M24" s="8" t="s">
        <v>856</v>
      </c>
      <c r="N24" s="8" t="s">
        <v>424</v>
      </c>
      <c r="O24" s="8" t="s">
        <v>857</v>
      </c>
      <c r="P24" s="8" t="s">
        <v>858</v>
      </c>
      <c r="Q24" s="8" t="s">
        <v>115</v>
      </c>
      <c r="R24" s="8" t="s">
        <v>156</v>
      </c>
      <c r="S24" s="8" t="s">
        <v>851</v>
      </c>
    </row>
    <row r="25" customFormat="false" ht="23.85" hidden="false" customHeight="false" outlineLevel="0" collapsed="false">
      <c r="A25" s="8" t="s">
        <v>859</v>
      </c>
      <c r="B25" s="8" t="s">
        <v>834</v>
      </c>
      <c r="C25" s="8" t="s">
        <v>852</v>
      </c>
      <c r="D25" s="8" t="s">
        <v>419</v>
      </c>
      <c r="E25" s="8" t="s">
        <v>860</v>
      </c>
      <c r="F25" s="8" t="s">
        <v>861</v>
      </c>
      <c r="G25" s="8" t="s">
        <v>697</v>
      </c>
      <c r="H25" s="8" t="s">
        <v>698</v>
      </c>
      <c r="I25" s="8" t="s">
        <v>699</v>
      </c>
      <c r="J25" s="8" t="s">
        <v>94</v>
      </c>
      <c r="K25" s="8" t="s">
        <v>862</v>
      </c>
      <c r="L25" s="8" t="s">
        <v>15</v>
      </c>
      <c r="M25" s="8" t="s">
        <v>863</v>
      </c>
      <c r="N25" s="8" t="s">
        <v>424</v>
      </c>
      <c r="O25" s="8" t="s">
        <v>864</v>
      </c>
      <c r="P25" s="8" t="s">
        <v>858</v>
      </c>
      <c r="Q25" s="8" t="s">
        <v>115</v>
      </c>
      <c r="R25" s="8" t="s">
        <v>156</v>
      </c>
      <c r="S25" s="8" t="s">
        <v>859</v>
      </c>
    </row>
    <row r="26" customFormat="false" ht="23.85" hidden="false" customHeight="false" outlineLevel="0" collapsed="false">
      <c r="A26" s="8" t="s">
        <v>865</v>
      </c>
      <c r="B26" s="8" t="s">
        <v>834</v>
      </c>
      <c r="C26" s="8" t="s">
        <v>866</v>
      </c>
      <c r="D26" s="8" t="s">
        <v>741</v>
      </c>
      <c r="E26" s="8" t="s">
        <v>867</v>
      </c>
      <c r="F26" s="8" t="s">
        <v>868</v>
      </c>
      <c r="G26" s="8" t="s">
        <v>697</v>
      </c>
      <c r="H26" s="8" t="s">
        <v>698</v>
      </c>
      <c r="I26" s="8" t="s">
        <v>699</v>
      </c>
      <c r="J26" s="8" t="s">
        <v>94</v>
      </c>
      <c r="K26" s="8" t="s">
        <v>869</v>
      </c>
      <c r="L26" s="8" t="s">
        <v>15</v>
      </c>
      <c r="M26" s="8" t="s">
        <v>870</v>
      </c>
      <c r="N26" s="8" t="s">
        <v>424</v>
      </c>
      <c r="O26" s="8" t="s">
        <v>871</v>
      </c>
      <c r="P26" s="8" t="s">
        <v>872</v>
      </c>
      <c r="Q26" s="8" t="s">
        <v>115</v>
      </c>
      <c r="R26" s="8" t="s">
        <v>204</v>
      </c>
      <c r="S26" s="8" t="s">
        <v>865</v>
      </c>
    </row>
    <row r="27" customFormat="false" ht="23.85" hidden="false" customHeight="false" outlineLevel="0" collapsed="false">
      <c r="A27" s="8" t="s">
        <v>873</v>
      </c>
      <c r="B27" s="8" t="s">
        <v>834</v>
      </c>
      <c r="C27" s="8" t="s">
        <v>874</v>
      </c>
      <c r="D27" s="8" t="s">
        <v>741</v>
      </c>
      <c r="E27" s="8" t="s">
        <v>875</v>
      </c>
      <c r="F27" s="8" t="s">
        <v>876</v>
      </c>
      <c r="G27" s="8" t="s">
        <v>697</v>
      </c>
      <c r="H27" s="8" t="s">
        <v>698</v>
      </c>
      <c r="I27" s="8" t="s">
        <v>699</v>
      </c>
      <c r="J27" s="8" t="s">
        <v>94</v>
      </c>
      <c r="K27" s="8" t="s">
        <v>877</v>
      </c>
      <c r="L27" s="8" t="s">
        <v>15</v>
      </c>
      <c r="M27" s="8" t="s">
        <v>878</v>
      </c>
      <c r="N27" s="8" t="s">
        <v>424</v>
      </c>
      <c r="O27" s="8" t="s">
        <v>879</v>
      </c>
      <c r="P27" s="8" t="s">
        <v>872</v>
      </c>
      <c r="Q27" s="8" t="s">
        <v>115</v>
      </c>
      <c r="R27" s="8" t="s">
        <v>204</v>
      </c>
      <c r="S27" s="8" t="s">
        <v>880</v>
      </c>
    </row>
    <row r="28" customFormat="false" ht="23.85" hidden="false" customHeight="false" outlineLevel="0" collapsed="false">
      <c r="A28" s="8" t="s">
        <v>881</v>
      </c>
      <c r="B28" s="8" t="s">
        <v>834</v>
      </c>
      <c r="C28" s="8" t="s">
        <v>882</v>
      </c>
      <c r="D28" s="8" t="s">
        <v>694</v>
      </c>
      <c r="E28" s="8" t="s">
        <v>883</v>
      </c>
      <c r="F28" s="8" t="s">
        <v>884</v>
      </c>
      <c r="G28" s="8" t="s">
        <v>697</v>
      </c>
      <c r="H28" s="8" t="s">
        <v>698</v>
      </c>
      <c r="I28" s="8" t="s">
        <v>699</v>
      </c>
      <c r="J28" s="8" t="s">
        <v>94</v>
      </c>
      <c r="K28" s="8" t="s">
        <v>885</v>
      </c>
      <c r="L28" s="8" t="s">
        <v>886</v>
      </c>
      <c r="M28" s="8" t="s">
        <v>887</v>
      </c>
      <c r="N28" s="8" t="s">
        <v>424</v>
      </c>
      <c r="O28" s="8" t="s">
        <v>888</v>
      </c>
      <c r="P28" s="8" t="s">
        <v>889</v>
      </c>
      <c r="Q28" s="8" t="s">
        <v>115</v>
      </c>
      <c r="R28" s="8" t="s">
        <v>156</v>
      </c>
      <c r="S28" s="8" t="s">
        <v>881</v>
      </c>
    </row>
    <row r="29" customFormat="false" ht="23.85" hidden="false" customHeight="false" outlineLevel="0" collapsed="false">
      <c r="A29" s="8" t="s">
        <v>890</v>
      </c>
      <c r="B29" s="8" t="s">
        <v>834</v>
      </c>
      <c r="C29" s="8" t="s">
        <v>882</v>
      </c>
      <c r="D29" s="8" t="s">
        <v>419</v>
      </c>
      <c r="E29" s="8" t="s">
        <v>891</v>
      </c>
      <c r="F29" s="8" t="s">
        <v>892</v>
      </c>
      <c r="G29" s="8" t="s">
        <v>697</v>
      </c>
      <c r="H29" s="8" t="s">
        <v>698</v>
      </c>
      <c r="I29" s="8" t="s">
        <v>699</v>
      </c>
      <c r="J29" s="8" t="s">
        <v>94</v>
      </c>
      <c r="K29" s="8" t="s">
        <v>893</v>
      </c>
      <c r="L29" s="8" t="s">
        <v>15</v>
      </c>
      <c r="M29" s="8" t="s">
        <v>894</v>
      </c>
      <c r="N29" s="8" t="s">
        <v>424</v>
      </c>
      <c r="O29" s="8" t="s">
        <v>895</v>
      </c>
      <c r="P29" s="8" t="s">
        <v>889</v>
      </c>
      <c r="Q29" s="8" t="s">
        <v>115</v>
      </c>
      <c r="R29" s="8" t="s">
        <v>156</v>
      </c>
      <c r="S29" s="8" t="s">
        <v>890</v>
      </c>
    </row>
    <row r="30" customFormat="false" ht="23.85" hidden="false" customHeight="false" outlineLevel="0" collapsed="false">
      <c r="A30" s="8" t="s">
        <v>896</v>
      </c>
      <c r="B30" s="8" t="s">
        <v>834</v>
      </c>
      <c r="C30" s="8" t="s">
        <v>897</v>
      </c>
      <c r="D30" s="8" t="s">
        <v>694</v>
      </c>
      <c r="E30" s="8" t="s">
        <v>898</v>
      </c>
      <c r="F30" s="8" t="s">
        <v>899</v>
      </c>
      <c r="G30" s="8" t="s">
        <v>697</v>
      </c>
      <c r="H30" s="8" t="s">
        <v>698</v>
      </c>
      <c r="I30" s="8" t="s">
        <v>699</v>
      </c>
      <c r="J30" s="8" t="s">
        <v>94</v>
      </c>
      <c r="K30" s="8" t="s">
        <v>900</v>
      </c>
      <c r="L30" s="8" t="s">
        <v>15</v>
      </c>
      <c r="M30" s="8" t="s">
        <v>901</v>
      </c>
      <c r="N30" s="8" t="s">
        <v>431</v>
      </c>
      <c r="O30" s="8" t="s">
        <v>902</v>
      </c>
      <c r="P30" s="8" t="s">
        <v>903</v>
      </c>
      <c r="Q30" s="8" t="s">
        <v>115</v>
      </c>
      <c r="R30" s="8" t="s">
        <v>156</v>
      </c>
      <c r="S30" s="8" t="s">
        <v>904</v>
      </c>
    </row>
    <row r="31" customFormat="false" ht="23.85" hidden="false" customHeight="false" outlineLevel="0" collapsed="false">
      <c r="A31" s="8" t="s">
        <v>472</v>
      </c>
      <c r="B31" s="8" t="s">
        <v>905</v>
      </c>
      <c r="C31" s="8" t="s">
        <v>906</v>
      </c>
      <c r="D31" s="8" t="s">
        <v>694</v>
      </c>
      <c r="E31" s="8" t="s">
        <v>907</v>
      </c>
      <c r="F31" s="8" t="s">
        <v>378</v>
      </c>
      <c r="G31" s="8" t="s">
        <v>697</v>
      </c>
      <c r="H31" s="8" t="s">
        <v>698</v>
      </c>
      <c r="I31" s="8" t="s">
        <v>699</v>
      </c>
      <c r="J31" s="8" t="s">
        <v>94</v>
      </c>
      <c r="K31" s="8" t="s">
        <v>908</v>
      </c>
      <c r="L31" s="8" t="s">
        <v>909</v>
      </c>
      <c r="M31" s="8" t="s">
        <v>910</v>
      </c>
      <c r="N31" s="8" t="s">
        <v>424</v>
      </c>
      <c r="O31" s="8" t="s">
        <v>911</v>
      </c>
      <c r="P31" s="8" t="s">
        <v>912</v>
      </c>
      <c r="Q31" s="8" t="s">
        <v>115</v>
      </c>
      <c r="R31" s="8" t="s">
        <v>132</v>
      </c>
      <c r="S31" s="8" t="s">
        <v>472</v>
      </c>
    </row>
    <row r="32" customFormat="false" ht="23.85" hidden="false" customHeight="false" outlineLevel="0" collapsed="false">
      <c r="A32" s="8" t="s">
        <v>913</v>
      </c>
      <c r="B32" s="8" t="s">
        <v>905</v>
      </c>
      <c r="C32" s="8" t="s">
        <v>906</v>
      </c>
      <c r="D32" s="8" t="s">
        <v>741</v>
      </c>
      <c r="E32" s="8" t="s">
        <v>914</v>
      </c>
      <c r="F32" s="8" t="s">
        <v>915</v>
      </c>
      <c r="G32" s="8" t="s">
        <v>697</v>
      </c>
      <c r="H32" s="8" t="s">
        <v>698</v>
      </c>
      <c r="I32" s="8" t="s">
        <v>699</v>
      </c>
      <c r="J32" s="8" t="s">
        <v>94</v>
      </c>
      <c r="K32" s="8" t="s">
        <v>916</v>
      </c>
      <c r="L32" s="8" t="s">
        <v>15</v>
      </c>
      <c r="M32" s="8" t="s">
        <v>917</v>
      </c>
      <c r="N32" s="8" t="s">
        <v>424</v>
      </c>
      <c r="O32" s="8" t="s">
        <v>918</v>
      </c>
      <c r="P32" s="8" t="s">
        <v>919</v>
      </c>
      <c r="Q32" s="8" t="s">
        <v>115</v>
      </c>
      <c r="R32" s="8" t="s">
        <v>132</v>
      </c>
      <c r="S32" s="8" t="s">
        <v>15</v>
      </c>
    </row>
    <row r="33" customFormat="false" ht="23.85" hidden="false" customHeight="false" outlineLevel="0" collapsed="false">
      <c r="A33" s="8" t="s">
        <v>920</v>
      </c>
      <c r="B33" s="8" t="s">
        <v>905</v>
      </c>
      <c r="C33" s="8" t="s">
        <v>906</v>
      </c>
      <c r="D33" s="8" t="s">
        <v>419</v>
      </c>
      <c r="E33" s="8" t="s">
        <v>921</v>
      </c>
      <c r="F33" s="8" t="s">
        <v>922</v>
      </c>
      <c r="G33" s="8" t="s">
        <v>697</v>
      </c>
      <c r="H33" s="8" t="s">
        <v>698</v>
      </c>
      <c r="I33" s="8" t="s">
        <v>699</v>
      </c>
      <c r="J33" s="8" t="s">
        <v>94</v>
      </c>
      <c r="K33" s="8" t="s">
        <v>923</v>
      </c>
      <c r="L33" s="8" t="s">
        <v>15</v>
      </c>
      <c r="M33" s="8" t="s">
        <v>924</v>
      </c>
      <c r="N33" s="8" t="s">
        <v>424</v>
      </c>
      <c r="O33" s="8" t="s">
        <v>925</v>
      </c>
      <c r="P33" s="8" t="s">
        <v>926</v>
      </c>
      <c r="Q33" s="8" t="s">
        <v>115</v>
      </c>
      <c r="R33" s="8" t="s">
        <v>132</v>
      </c>
      <c r="S33" s="8" t="s">
        <v>15</v>
      </c>
    </row>
    <row r="34" customFormat="false" ht="23.85" hidden="false" customHeight="false" outlineLevel="0" collapsed="false">
      <c r="A34" s="8" t="s">
        <v>927</v>
      </c>
      <c r="B34" s="8" t="s">
        <v>905</v>
      </c>
      <c r="C34" s="8" t="s">
        <v>906</v>
      </c>
      <c r="D34" s="8" t="s">
        <v>419</v>
      </c>
      <c r="E34" s="8" t="s">
        <v>928</v>
      </c>
      <c r="F34" s="8" t="s">
        <v>929</v>
      </c>
      <c r="G34" s="8" t="s">
        <v>697</v>
      </c>
      <c r="H34" s="8" t="s">
        <v>698</v>
      </c>
      <c r="I34" s="8" t="s">
        <v>699</v>
      </c>
      <c r="J34" s="8" t="s">
        <v>94</v>
      </c>
      <c r="K34" s="8" t="s">
        <v>930</v>
      </c>
      <c r="L34" s="8" t="s">
        <v>931</v>
      </c>
      <c r="M34" s="8" t="s">
        <v>932</v>
      </c>
      <c r="N34" s="8" t="s">
        <v>424</v>
      </c>
      <c r="O34" s="8" t="s">
        <v>933</v>
      </c>
      <c r="P34" s="8" t="s">
        <v>934</v>
      </c>
      <c r="Q34" s="8" t="s">
        <v>115</v>
      </c>
      <c r="R34" s="8" t="s">
        <v>138</v>
      </c>
      <c r="S34" s="8" t="s">
        <v>15</v>
      </c>
    </row>
    <row r="35" customFormat="false" ht="23.85" hidden="false" customHeight="false" outlineLevel="0" collapsed="false">
      <c r="A35" s="8" t="s">
        <v>935</v>
      </c>
      <c r="B35" s="8" t="s">
        <v>936</v>
      </c>
      <c r="C35" s="8" t="s">
        <v>936</v>
      </c>
      <c r="D35" s="8" t="s">
        <v>741</v>
      </c>
      <c r="E35" s="8" t="s">
        <v>937</v>
      </c>
      <c r="F35" s="8" t="s">
        <v>938</v>
      </c>
      <c r="G35" s="8" t="s">
        <v>697</v>
      </c>
      <c r="H35" s="8" t="s">
        <v>698</v>
      </c>
      <c r="I35" s="8" t="s">
        <v>699</v>
      </c>
      <c r="J35" s="8" t="s">
        <v>94</v>
      </c>
      <c r="K35" s="8" t="s">
        <v>939</v>
      </c>
      <c r="L35" s="8" t="s">
        <v>940</v>
      </c>
      <c r="M35" s="8" t="s">
        <v>941</v>
      </c>
      <c r="N35" s="8" t="s">
        <v>424</v>
      </c>
      <c r="O35" s="8" t="s">
        <v>942</v>
      </c>
      <c r="P35" s="8" t="s">
        <v>943</v>
      </c>
      <c r="Q35" s="8" t="s">
        <v>115</v>
      </c>
      <c r="R35" s="8" t="s">
        <v>138</v>
      </c>
      <c r="S35" s="8" t="s">
        <v>15</v>
      </c>
    </row>
    <row r="36" customFormat="false" ht="23.85" hidden="false" customHeight="false" outlineLevel="0" collapsed="false">
      <c r="A36" s="8" t="s">
        <v>944</v>
      </c>
      <c r="B36" s="8" t="s">
        <v>936</v>
      </c>
      <c r="C36" s="8" t="s">
        <v>936</v>
      </c>
      <c r="D36" s="8" t="s">
        <v>419</v>
      </c>
      <c r="E36" s="8" t="s">
        <v>945</v>
      </c>
      <c r="F36" s="8" t="s">
        <v>946</v>
      </c>
      <c r="G36" s="8" t="s">
        <v>697</v>
      </c>
      <c r="H36" s="8" t="s">
        <v>698</v>
      </c>
      <c r="I36" s="8" t="s">
        <v>699</v>
      </c>
      <c r="J36" s="8" t="s">
        <v>94</v>
      </c>
      <c r="K36" s="8" t="s">
        <v>947</v>
      </c>
      <c r="L36" s="8" t="s">
        <v>15</v>
      </c>
      <c r="M36" s="8" t="s">
        <v>948</v>
      </c>
      <c r="N36" s="8" t="s">
        <v>424</v>
      </c>
      <c r="O36" s="8" t="s">
        <v>949</v>
      </c>
      <c r="P36" s="8" t="s">
        <v>950</v>
      </c>
      <c r="Q36" s="8" t="s">
        <v>115</v>
      </c>
      <c r="R36" s="8" t="s">
        <v>138</v>
      </c>
      <c r="S36" s="8" t="s">
        <v>15</v>
      </c>
    </row>
    <row r="37" customFormat="false" ht="23.85" hidden="false" customHeight="false" outlineLevel="0" collapsed="false">
      <c r="A37" s="8" t="s">
        <v>951</v>
      </c>
      <c r="B37" s="8" t="s">
        <v>936</v>
      </c>
      <c r="C37" s="8" t="s">
        <v>936</v>
      </c>
      <c r="D37" s="8" t="s">
        <v>741</v>
      </c>
      <c r="E37" s="8" t="s">
        <v>952</v>
      </c>
      <c r="F37" s="8" t="s">
        <v>953</v>
      </c>
      <c r="G37" s="8" t="s">
        <v>697</v>
      </c>
      <c r="H37" s="8" t="s">
        <v>698</v>
      </c>
      <c r="I37" s="8" t="s">
        <v>699</v>
      </c>
      <c r="J37" s="8" t="s">
        <v>94</v>
      </c>
      <c r="K37" s="8" t="s">
        <v>954</v>
      </c>
      <c r="L37" s="8" t="s">
        <v>15</v>
      </c>
      <c r="M37" s="8" t="s">
        <v>955</v>
      </c>
      <c r="N37" s="8" t="s">
        <v>424</v>
      </c>
      <c r="O37" s="8" t="s">
        <v>956</v>
      </c>
      <c r="P37" s="8" t="s">
        <v>957</v>
      </c>
      <c r="Q37" s="8" t="s">
        <v>115</v>
      </c>
      <c r="R37" s="8" t="s">
        <v>138</v>
      </c>
      <c r="S37" s="8" t="s">
        <v>15</v>
      </c>
    </row>
    <row r="38" customFormat="false" ht="23.85" hidden="false" customHeight="false" outlineLevel="0" collapsed="false">
      <c r="A38" s="8" t="s">
        <v>478</v>
      </c>
      <c r="B38" s="8" t="s">
        <v>936</v>
      </c>
      <c r="C38" s="8" t="s">
        <v>958</v>
      </c>
      <c r="D38" s="8" t="s">
        <v>694</v>
      </c>
      <c r="E38" s="8" t="s">
        <v>959</v>
      </c>
      <c r="F38" s="8" t="s">
        <v>960</v>
      </c>
      <c r="G38" s="8" t="s">
        <v>697</v>
      </c>
      <c r="H38" s="8" t="s">
        <v>698</v>
      </c>
      <c r="I38" s="8" t="s">
        <v>699</v>
      </c>
      <c r="J38" s="8" t="s">
        <v>94</v>
      </c>
      <c r="K38" s="8" t="s">
        <v>961</v>
      </c>
      <c r="L38" s="8" t="s">
        <v>962</v>
      </c>
      <c r="M38" s="8" t="s">
        <v>963</v>
      </c>
      <c r="N38" s="8" t="s">
        <v>424</v>
      </c>
      <c r="O38" s="8" t="s">
        <v>964</v>
      </c>
      <c r="P38" s="8" t="s">
        <v>965</v>
      </c>
      <c r="Q38" s="8" t="s">
        <v>115</v>
      </c>
      <c r="R38" s="8" t="s">
        <v>156</v>
      </c>
      <c r="S38" s="8" t="s">
        <v>15</v>
      </c>
    </row>
    <row r="39" customFormat="false" ht="23.85" hidden="false" customHeight="false" outlineLevel="0" collapsed="false">
      <c r="A39" s="8" t="s">
        <v>480</v>
      </c>
      <c r="B39" s="8" t="s">
        <v>966</v>
      </c>
      <c r="C39" s="8" t="s">
        <v>967</v>
      </c>
      <c r="D39" s="8" t="s">
        <v>694</v>
      </c>
      <c r="E39" s="8" t="s">
        <v>968</v>
      </c>
      <c r="F39" s="8" t="s">
        <v>399</v>
      </c>
      <c r="G39" s="8" t="s">
        <v>697</v>
      </c>
      <c r="H39" s="8" t="s">
        <v>698</v>
      </c>
      <c r="I39" s="8" t="s">
        <v>699</v>
      </c>
      <c r="J39" s="8" t="s">
        <v>94</v>
      </c>
      <c r="K39" s="8" t="s">
        <v>969</v>
      </c>
      <c r="L39" s="8" t="s">
        <v>15</v>
      </c>
      <c r="M39" s="8" t="s">
        <v>970</v>
      </c>
      <c r="N39" s="8" t="s">
        <v>424</v>
      </c>
      <c r="O39" s="8" t="s">
        <v>971</v>
      </c>
      <c r="P39" s="8" t="s">
        <v>972</v>
      </c>
      <c r="Q39" s="8" t="s">
        <v>115</v>
      </c>
      <c r="R39" s="8" t="s">
        <v>138</v>
      </c>
      <c r="S39" s="8" t="s">
        <v>15</v>
      </c>
    </row>
    <row r="40" customFormat="false" ht="23.85" hidden="false" customHeight="false" outlineLevel="0" collapsed="false">
      <c r="A40" s="8" t="s">
        <v>973</v>
      </c>
      <c r="B40" s="8" t="s">
        <v>966</v>
      </c>
      <c r="C40" s="8" t="s">
        <v>967</v>
      </c>
      <c r="D40" s="8" t="s">
        <v>741</v>
      </c>
      <c r="E40" s="8" t="s">
        <v>974</v>
      </c>
      <c r="F40" s="8" t="s">
        <v>975</v>
      </c>
      <c r="G40" s="8" t="s">
        <v>697</v>
      </c>
      <c r="H40" s="8" t="s">
        <v>698</v>
      </c>
      <c r="I40" s="8" t="s">
        <v>699</v>
      </c>
      <c r="J40" s="8" t="s">
        <v>94</v>
      </c>
      <c r="K40" s="8" t="s">
        <v>976</v>
      </c>
      <c r="L40" s="8" t="s">
        <v>15</v>
      </c>
      <c r="M40" s="8" t="s">
        <v>977</v>
      </c>
      <c r="N40" s="8" t="s">
        <v>424</v>
      </c>
      <c r="O40" s="8" t="s">
        <v>978</v>
      </c>
      <c r="P40" s="8" t="s">
        <v>979</v>
      </c>
      <c r="Q40" s="8" t="s">
        <v>115</v>
      </c>
      <c r="R40" s="8" t="s">
        <v>132</v>
      </c>
      <c r="S40" s="8" t="s">
        <v>15</v>
      </c>
    </row>
    <row r="41" customFormat="false" ht="23.85" hidden="false" customHeight="false" outlineLevel="0" collapsed="false">
      <c r="A41" s="8" t="s">
        <v>980</v>
      </c>
      <c r="B41" s="8" t="s">
        <v>966</v>
      </c>
      <c r="C41" s="8" t="s">
        <v>967</v>
      </c>
      <c r="D41" s="8" t="s">
        <v>419</v>
      </c>
      <c r="E41" s="8" t="s">
        <v>981</v>
      </c>
      <c r="F41" s="8" t="s">
        <v>982</v>
      </c>
      <c r="G41" s="8" t="s">
        <v>697</v>
      </c>
      <c r="H41" s="8" t="s">
        <v>698</v>
      </c>
      <c r="I41" s="8" t="s">
        <v>699</v>
      </c>
      <c r="J41" s="8" t="s">
        <v>94</v>
      </c>
      <c r="K41" s="8" t="s">
        <v>983</v>
      </c>
      <c r="L41" s="8" t="s">
        <v>984</v>
      </c>
      <c r="M41" s="8" t="s">
        <v>985</v>
      </c>
      <c r="N41" s="8" t="s">
        <v>424</v>
      </c>
      <c r="O41" s="8" t="s">
        <v>986</v>
      </c>
      <c r="P41" s="8" t="s">
        <v>987</v>
      </c>
      <c r="Q41" s="8" t="s">
        <v>115</v>
      </c>
      <c r="R41" s="8" t="s">
        <v>138</v>
      </c>
      <c r="S41" s="8" t="s">
        <v>15</v>
      </c>
    </row>
    <row r="42" customFormat="false" ht="23.85" hidden="false" customHeight="false" outlineLevel="0" collapsed="false">
      <c r="A42" s="8" t="s">
        <v>988</v>
      </c>
      <c r="B42" s="8" t="s">
        <v>966</v>
      </c>
      <c r="C42" s="8" t="s">
        <v>967</v>
      </c>
      <c r="D42" s="8" t="s">
        <v>419</v>
      </c>
      <c r="E42" s="8" t="s">
        <v>989</v>
      </c>
      <c r="F42" s="8" t="s">
        <v>990</v>
      </c>
      <c r="G42" s="8" t="s">
        <v>697</v>
      </c>
      <c r="H42" s="8" t="s">
        <v>698</v>
      </c>
      <c r="I42" s="8" t="s">
        <v>699</v>
      </c>
      <c r="J42" s="8" t="s">
        <v>94</v>
      </c>
      <c r="K42" s="8" t="s">
        <v>991</v>
      </c>
      <c r="L42" s="8" t="s">
        <v>15</v>
      </c>
      <c r="M42" s="8" t="s">
        <v>992</v>
      </c>
      <c r="N42" s="8" t="s">
        <v>424</v>
      </c>
      <c r="O42" s="8" t="s">
        <v>993</v>
      </c>
      <c r="P42" s="8" t="s">
        <v>994</v>
      </c>
      <c r="Q42" s="8" t="s">
        <v>115</v>
      </c>
      <c r="R42" s="8" t="s">
        <v>132</v>
      </c>
      <c r="S42" s="8" t="s">
        <v>15</v>
      </c>
    </row>
    <row r="43" customFormat="false" ht="23.85" hidden="false" customHeight="false" outlineLevel="0" collapsed="false">
      <c r="A43" s="8" t="s">
        <v>995</v>
      </c>
      <c r="B43" s="8" t="s">
        <v>966</v>
      </c>
      <c r="C43" s="8" t="s">
        <v>967</v>
      </c>
      <c r="D43" s="8" t="s">
        <v>419</v>
      </c>
      <c r="E43" s="8" t="s">
        <v>996</v>
      </c>
      <c r="F43" s="8" t="s">
        <v>997</v>
      </c>
      <c r="G43" s="8" t="s">
        <v>697</v>
      </c>
      <c r="H43" s="8" t="s">
        <v>698</v>
      </c>
      <c r="I43" s="8" t="s">
        <v>699</v>
      </c>
      <c r="J43" s="8" t="s">
        <v>94</v>
      </c>
      <c r="K43" s="8" t="s">
        <v>998</v>
      </c>
      <c r="L43" s="8" t="s">
        <v>15</v>
      </c>
      <c r="M43" s="8" t="s">
        <v>999</v>
      </c>
      <c r="N43" s="8" t="s">
        <v>424</v>
      </c>
      <c r="O43" s="8" t="s">
        <v>956</v>
      </c>
      <c r="P43" s="8" t="s">
        <v>1000</v>
      </c>
      <c r="Q43" s="8" t="s">
        <v>115</v>
      </c>
      <c r="R43" s="8" t="s">
        <v>132</v>
      </c>
      <c r="S43" s="8" t="s">
        <v>15</v>
      </c>
    </row>
    <row r="44" customFormat="false" ht="23.85" hidden="false" customHeight="false" outlineLevel="0" collapsed="false">
      <c r="A44" s="8" t="s">
        <v>484</v>
      </c>
      <c r="B44" s="8" t="s">
        <v>1001</v>
      </c>
      <c r="C44" s="8" t="s">
        <v>1002</v>
      </c>
      <c r="D44" s="8" t="s">
        <v>694</v>
      </c>
      <c r="E44" s="8" t="s">
        <v>1003</v>
      </c>
      <c r="F44" s="8" t="s">
        <v>483</v>
      </c>
      <c r="G44" s="8" t="s">
        <v>697</v>
      </c>
      <c r="H44" s="8" t="s">
        <v>698</v>
      </c>
      <c r="I44" s="8" t="s">
        <v>699</v>
      </c>
      <c r="J44" s="8" t="s">
        <v>94</v>
      </c>
      <c r="K44" s="8" t="s">
        <v>1004</v>
      </c>
      <c r="L44" s="8" t="s">
        <v>1005</v>
      </c>
      <c r="M44" s="8" t="s">
        <v>15</v>
      </c>
      <c r="N44" s="8" t="s">
        <v>431</v>
      </c>
      <c r="O44" s="8" t="s">
        <v>1006</v>
      </c>
      <c r="P44" s="8" t="s">
        <v>1007</v>
      </c>
      <c r="Q44" s="8" t="s">
        <v>115</v>
      </c>
      <c r="R44" s="8" t="s">
        <v>156</v>
      </c>
      <c r="S44" s="8" t="s">
        <v>15</v>
      </c>
    </row>
    <row r="45" customFormat="false" ht="23.85" hidden="false" customHeight="false" outlineLevel="0" collapsed="false">
      <c r="A45" s="8" t="s">
        <v>486</v>
      </c>
      <c r="B45" s="8" t="s">
        <v>1001</v>
      </c>
      <c r="C45" s="8" t="s">
        <v>1001</v>
      </c>
      <c r="D45" s="8" t="s">
        <v>694</v>
      </c>
      <c r="E45" s="8" t="s">
        <v>1008</v>
      </c>
      <c r="F45" s="8" t="s">
        <v>1009</v>
      </c>
      <c r="G45" s="8" t="s">
        <v>697</v>
      </c>
      <c r="H45" s="8" t="s">
        <v>698</v>
      </c>
      <c r="I45" s="8" t="s">
        <v>699</v>
      </c>
      <c r="J45" s="8" t="s">
        <v>94</v>
      </c>
      <c r="K45" s="8" t="s">
        <v>1010</v>
      </c>
      <c r="L45" s="8" t="s">
        <v>1011</v>
      </c>
      <c r="M45" s="8" t="s">
        <v>1012</v>
      </c>
      <c r="N45" s="8" t="s">
        <v>487</v>
      </c>
      <c r="O45" s="8" t="s">
        <v>485</v>
      </c>
      <c r="P45" s="8" t="s">
        <v>1013</v>
      </c>
      <c r="Q45" s="8" t="s">
        <v>115</v>
      </c>
      <c r="R45" s="8" t="s">
        <v>156</v>
      </c>
      <c r="S45" s="8" t="s">
        <v>15</v>
      </c>
    </row>
  </sheetData>
  <autoFilter ref="A3:S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1014</v>
      </c>
    </row>
    <row r="2" customFormat="false" ht="15" hidden="false" customHeight="false" outlineLevel="0" collapsed="false">
      <c r="A2" s="6" t="s">
        <v>51</v>
      </c>
    </row>
    <row r="3" customFormat="false" ht="15" hidden="false" customHeight="false" outlineLevel="0" collapsed="false">
      <c r="A3" s="7" t="s">
        <v>3</v>
      </c>
      <c r="B3" s="7" t="s">
        <v>1015</v>
      </c>
    </row>
    <row r="4" customFormat="false" ht="15" hidden="false" customHeight="false" outlineLevel="0" collapsed="false">
      <c r="A4" s="8" t="s">
        <v>1016</v>
      </c>
      <c r="B4" s="8" t="s">
        <v>1017</v>
      </c>
    </row>
    <row r="5" customFormat="false" ht="23.85" hidden="false" customHeight="false" outlineLevel="0" collapsed="false">
      <c r="A5" s="8" t="s">
        <v>1018</v>
      </c>
      <c r="B5" s="8" t="s">
        <v>1019</v>
      </c>
    </row>
    <row r="6" customFormat="false" ht="23.85" hidden="false" customHeight="false" outlineLevel="0" collapsed="false">
      <c r="A6" s="8" t="s">
        <v>1020</v>
      </c>
      <c r="B6" s="8" t="s">
        <v>1021</v>
      </c>
    </row>
    <row r="7" customFormat="false" ht="15" hidden="false" customHeight="false" outlineLevel="0" collapsed="false">
      <c r="A7" s="8" t="s">
        <v>1022</v>
      </c>
      <c r="B7" s="8" t="s">
        <v>1023</v>
      </c>
    </row>
    <row r="8" customFormat="false" ht="15" hidden="false" customHeight="false" outlineLevel="0" collapsed="false">
      <c r="A8" s="8" t="s">
        <v>1024</v>
      </c>
      <c r="B8" s="8" t="s">
        <v>1025</v>
      </c>
    </row>
    <row r="9" customFormat="false" ht="15" hidden="false" customHeight="false" outlineLevel="0" collapsed="false">
      <c r="A9" s="8" t="s">
        <v>1026</v>
      </c>
      <c r="B9" s="8" t="s">
        <v>1027</v>
      </c>
    </row>
    <row r="10" customFormat="false" ht="15" hidden="false" customHeight="false" outlineLevel="0" collapsed="false">
      <c r="A10" s="8" t="s">
        <v>1028</v>
      </c>
      <c r="B10" s="8" t="s">
        <v>1029</v>
      </c>
    </row>
    <row r="11" customFormat="false" ht="23.85" hidden="false" customHeight="false" outlineLevel="0" collapsed="false">
      <c r="A11" s="8" t="s">
        <v>1030</v>
      </c>
      <c r="B11" s="8" t="s">
        <v>1031</v>
      </c>
    </row>
  </sheetData>
  <autoFilter ref="A3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5" min="4" style="0" width="22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32"/>
    <col collapsed="false" customWidth="true" hidden="false" outlineLevel="0" max="9" min="9" style="0" width="28"/>
    <col collapsed="false" customWidth="true" hidden="false" outlineLevel="0" max="10" min="10" style="0" width="12"/>
    <col collapsed="false" customWidth="true" hidden="false" outlineLevel="0" max="11" min="11" style="0" width="34"/>
    <col collapsed="false" customWidth="true" hidden="false" outlineLevel="0" max="12" min="12" style="0" width="16"/>
    <col collapsed="false" customWidth="true" hidden="false" outlineLevel="0" max="13" min="13" style="0" width="56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1032</v>
      </c>
    </row>
    <row r="2" customFormat="false" ht="15" hidden="false" customHeight="false" outlineLevel="0" collapsed="false">
      <c r="A2" s="6" t="s">
        <v>51</v>
      </c>
    </row>
    <row r="3" customFormat="false" ht="23.85" hidden="false" customHeight="false" outlineLevel="0" collapsed="false">
      <c r="A3" s="7" t="s">
        <v>1033</v>
      </c>
      <c r="B3" s="7" t="s">
        <v>1034</v>
      </c>
      <c r="C3" s="7" t="s">
        <v>681</v>
      </c>
      <c r="D3" s="7" t="s">
        <v>1035</v>
      </c>
      <c r="E3" s="7" t="s">
        <v>1036</v>
      </c>
      <c r="F3" s="7" t="s">
        <v>1037</v>
      </c>
      <c r="G3" s="7" t="s">
        <v>554</v>
      </c>
      <c r="H3" s="7" t="s">
        <v>1038</v>
      </c>
      <c r="I3" s="7" t="s">
        <v>684</v>
      </c>
      <c r="J3" s="7" t="s">
        <v>54</v>
      </c>
      <c r="K3" s="7" t="s">
        <v>638</v>
      </c>
      <c r="L3" s="7" t="s">
        <v>689</v>
      </c>
      <c r="M3" s="7" t="s">
        <v>1039</v>
      </c>
      <c r="N3" s="7" t="s">
        <v>421</v>
      </c>
    </row>
    <row r="4" customFormat="false" ht="35.05" hidden="false" customHeight="false" outlineLevel="0" collapsed="false">
      <c r="A4" s="8" t="s">
        <v>1040</v>
      </c>
      <c r="B4" s="8" t="s">
        <v>423</v>
      </c>
      <c r="C4" s="8" t="s">
        <v>695</v>
      </c>
      <c r="D4" s="8" t="s">
        <v>555</v>
      </c>
      <c r="E4" s="8" t="s">
        <v>1041</v>
      </c>
      <c r="F4" s="8" t="s">
        <v>557</v>
      </c>
      <c r="G4" s="8" t="s">
        <v>1042</v>
      </c>
      <c r="H4" s="8" t="s">
        <v>1043</v>
      </c>
      <c r="I4" s="8" t="s">
        <v>1044</v>
      </c>
      <c r="J4" s="8" t="s">
        <v>424</v>
      </c>
      <c r="K4" s="8" t="s">
        <v>703</v>
      </c>
      <c r="L4" s="8" t="s">
        <v>704</v>
      </c>
      <c r="M4" s="8" t="s">
        <v>1045</v>
      </c>
      <c r="N4" s="8" t="s">
        <v>138</v>
      </c>
    </row>
    <row r="5" customFormat="false" ht="35.05" hidden="false" customHeight="false" outlineLevel="0" collapsed="false">
      <c r="A5" s="8" t="s">
        <v>1040</v>
      </c>
      <c r="B5" s="8" t="s">
        <v>423</v>
      </c>
      <c r="C5" s="8" t="s">
        <v>695</v>
      </c>
      <c r="D5" s="8" t="s">
        <v>643</v>
      </c>
      <c r="E5" s="8" t="s">
        <v>1046</v>
      </c>
      <c r="F5" s="8" t="s">
        <v>557</v>
      </c>
      <c r="G5" s="8" t="s">
        <v>1042</v>
      </c>
      <c r="H5" s="8" t="s">
        <v>1043</v>
      </c>
      <c r="I5" s="8" t="s">
        <v>1044</v>
      </c>
      <c r="J5" s="8" t="s">
        <v>424</v>
      </c>
      <c r="K5" s="8" t="s">
        <v>703</v>
      </c>
      <c r="L5" s="8" t="s">
        <v>704</v>
      </c>
      <c r="M5" s="8" t="s">
        <v>1045</v>
      </c>
      <c r="N5" s="8" t="s">
        <v>138</v>
      </c>
    </row>
    <row r="6" customFormat="false" ht="35.05" hidden="false" customHeight="false" outlineLevel="0" collapsed="false">
      <c r="A6" s="8" t="s">
        <v>1040</v>
      </c>
      <c r="B6" s="8" t="s">
        <v>423</v>
      </c>
      <c r="C6" s="8" t="s">
        <v>695</v>
      </c>
      <c r="D6" s="8" t="s">
        <v>1047</v>
      </c>
      <c r="E6" s="8" t="s">
        <v>1048</v>
      </c>
      <c r="F6" s="8" t="s">
        <v>557</v>
      </c>
      <c r="G6" s="8" t="s">
        <v>1042</v>
      </c>
      <c r="H6" s="8" t="s">
        <v>1043</v>
      </c>
      <c r="I6" s="8" t="s">
        <v>1044</v>
      </c>
      <c r="J6" s="8" t="s">
        <v>424</v>
      </c>
      <c r="K6" s="8" t="s">
        <v>703</v>
      </c>
      <c r="L6" s="8" t="s">
        <v>704</v>
      </c>
      <c r="M6" s="8" t="s">
        <v>1045</v>
      </c>
      <c r="N6" s="8" t="s">
        <v>138</v>
      </c>
    </row>
    <row r="7" customFormat="false" ht="35.05" hidden="false" customHeight="false" outlineLevel="0" collapsed="false">
      <c r="A7" s="8" t="s">
        <v>1040</v>
      </c>
      <c r="B7" s="8" t="s">
        <v>423</v>
      </c>
      <c r="C7" s="8" t="s">
        <v>695</v>
      </c>
      <c r="D7" s="8" t="s">
        <v>1049</v>
      </c>
      <c r="E7" s="8" t="s">
        <v>1050</v>
      </c>
      <c r="F7" s="8" t="s">
        <v>557</v>
      </c>
      <c r="G7" s="8" t="s">
        <v>1042</v>
      </c>
      <c r="H7" s="8" t="s">
        <v>1043</v>
      </c>
      <c r="I7" s="8" t="s">
        <v>1044</v>
      </c>
      <c r="J7" s="8" t="s">
        <v>424</v>
      </c>
      <c r="K7" s="8" t="s">
        <v>703</v>
      </c>
      <c r="L7" s="8" t="s">
        <v>704</v>
      </c>
      <c r="M7" s="8" t="s">
        <v>1045</v>
      </c>
      <c r="N7" s="8" t="s">
        <v>138</v>
      </c>
    </row>
    <row r="8" customFormat="false" ht="35.05" hidden="false" customHeight="false" outlineLevel="0" collapsed="false">
      <c r="A8" s="8" t="s">
        <v>1040</v>
      </c>
      <c r="B8" s="8" t="s">
        <v>423</v>
      </c>
      <c r="C8" s="8" t="s">
        <v>695</v>
      </c>
      <c r="D8" s="8" t="s">
        <v>586</v>
      </c>
      <c r="E8" s="8" t="s">
        <v>1051</v>
      </c>
      <c r="F8" s="8" t="s">
        <v>557</v>
      </c>
      <c r="G8" s="8" t="s">
        <v>1042</v>
      </c>
      <c r="H8" s="8" t="s">
        <v>1043</v>
      </c>
      <c r="I8" s="8" t="s">
        <v>1044</v>
      </c>
      <c r="J8" s="8" t="s">
        <v>424</v>
      </c>
      <c r="K8" s="8" t="s">
        <v>703</v>
      </c>
      <c r="L8" s="8" t="s">
        <v>704</v>
      </c>
      <c r="M8" s="8" t="s">
        <v>1045</v>
      </c>
      <c r="N8" s="8" t="s">
        <v>138</v>
      </c>
    </row>
    <row r="9" customFormat="false" ht="35.05" hidden="false" customHeight="false" outlineLevel="0" collapsed="false">
      <c r="A9" s="8" t="s">
        <v>1040</v>
      </c>
      <c r="B9" s="8" t="s">
        <v>423</v>
      </c>
      <c r="C9" s="8" t="s">
        <v>695</v>
      </c>
      <c r="D9" s="8" t="s">
        <v>1052</v>
      </c>
      <c r="E9" s="8" t="s">
        <v>1051</v>
      </c>
      <c r="F9" s="8" t="s">
        <v>557</v>
      </c>
      <c r="G9" s="8" t="s">
        <v>1042</v>
      </c>
      <c r="H9" s="8" t="s">
        <v>1043</v>
      </c>
      <c r="I9" s="8" t="s">
        <v>1044</v>
      </c>
      <c r="J9" s="8" t="s">
        <v>424</v>
      </c>
      <c r="K9" s="8" t="s">
        <v>703</v>
      </c>
      <c r="L9" s="8" t="s">
        <v>704</v>
      </c>
      <c r="M9" s="8" t="s">
        <v>1045</v>
      </c>
      <c r="N9" s="8" t="s">
        <v>138</v>
      </c>
    </row>
    <row r="10" customFormat="false" ht="35.05" hidden="false" customHeight="false" outlineLevel="0" collapsed="false">
      <c r="A10" s="8" t="s">
        <v>1040</v>
      </c>
      <c r="B10" s="8" t="s">
        <v>423</v>
      </c>
      <c r="C10" s="8" t="s">
        <v>695</v>
      </c>
      <c r="D10" s="8" t="s">
        <v>594</v>
      </c>
      <c r="E10" s="8" t="s">
        <v>1051</v>
      </c>
      <c r="F10" s="8" t="s">
        <v>557</v>
      </c>
      <c r="G10" s="8" t="s">
        <v>1042</v>
      </c>
      <c r="H10" s="8" t="s">
        <v>1043</v>
      </c>
      <c r="I10" s="8" t="s">
        <v>1044</v>
      </c>
      <c r="J10" s="8" t="s">
        <v>424</v>
      </c>
      <c r="K10" s="8" t="s">
        <v>703</v>
      </c>
      <c r="L10" s="8" t="s">
        <v>704</v>
      </c>
      <c r="M10" s="8" t="s">
        <v>1045</v>
      </c>
      <c r="N10" s="8" t="s">
        <v>138</v>
      </c>
    </row>
    <row r="11" customFormat="false" ht="23.85" hidden="false" customHeight="false" outlineLevel="0" collapsed="false">
      <c r="A11" s="8" t="s">
        <v>1053</v>
      </c>
      <c r="B11" s="8" t="s">
        <v>428</v>
      </c>
      <c r="C11" s="8" t="s">
        <v>715</v>
      </c>
      <c r="D11" s="8" t="s">
        <v>555</v>
      </c>
      <c r="E11" s="8" t="s">
        <v>1041</v>
      </c>
      <c r="F11" s="8" t="s">
        <v>557</v>
      </c>
      <c r="G11" s="8" t="s">
        <v>1042</v>
      </c>
      <c r="H11" s="8" t="s">
        <v>1054</v>
      </c>
      <c r="I11" s="8" t="s">
        <v>1044</v>
      </c>
      <c r="J11" s="8" t="s">
        <v>424</v>
      </c>
      <c r="K11" s="8" t="s">
        <v>719</v>
      </c>
      <c r="L11" s="8" t="s">
        <v>720</v>
      </c>
      <c r="M11" s="8" t="s">
        <v>1055</v>
      </c>
      <c r="N11" s="8" t="s">
        <v>138</v>
      </c>
    </row>
    <row r="12" customFormat="false" ht="23.85" hidden="false" customHeight="false" outlineLevel="0" collapsed="false">
      <c r="A12" s="8" t="s">
        <v>1053</v>
      </c>
      <c r="B12" s="8" t="s">
        <v>428</v>
      </c>
      <c r="C12" s="8" t="s">
        <v>715</v>
      </c>
      <c r="D12" s="8" t="s">
        <v>643</v>
      </c>
      <c r="E12" s="8" t="s">
        <v>1046</v>
      </c>
      <c r="F12" s="8" t="s">
        <v>557</v>
      </c>
      <c r="G12" s="8" t="s">
        <v>1042</v>
      </c>
      <c r="H12" s="8" t="s">
        <v>1054</v>
      </c>
      <c r="I12" s="8" t="s">
        <v>1044</v>
      </c>
      <c r="J12" s="8" t="s">
        <v>424</v>
      </c>
      <c r="K12" s="8" t="s">
        <v>719</v>
      </c>
      <c r="L12" s="8" t="s">
        <v>720</v>
      </c>
      <c r="M12" s="8" t="s">
        <v>1055</v>
      </c>
      <c r="N12" s="8" t="s">
        <v>138</v>
      </c>
    </row>
    <row r="13" customFormat="false" ht="23.85" hidden="false" customHeight="false" outlineLevel="0" collapsed="false">
      <c r="A13" s="8" t="s">
        <v>1053</v>
      </c>
      <c r="B13" s="8" t="s">
        <v>428</v>
      </c>
      <c r="C13" s="8" t="s">
        <v>715</v>
      </c>
      <c r="D13" s="8" t="s">
        <v>1047</v>
      </c>
      <c r="E13" s="8" t="s">
        <v>1048</v>
      </c>
      <c r="F13" s="8" t="s">
        <v>557</v>
      </c>
      <c r="G13" s="8" t="s">
        <v>1042</v>
      </c>
      <c r="H13" s="8" t="s">
        <v>1054</v>
      </c>
      <c r="I13" s="8" t="s">
        <v>1044</v>
      </c>
      <c r="J13" s="8" t="s">
        <v>424</v>
      </c>
      <c r="K13" s="8" t="s">
        <v>719</v>
      </c>
      <c r="L13" s="8" t="s">
        <v>720</v>
      </c>
      <c r="M13" s="8" t="s">
        <v>1055</v>
      </c>
      <c r="N13" s="8" t="s">
        <v>138</v>
      </c>
    </row>
    <row r="14" customFormat="false" ht="23.85" hidden="false" customHeight="false" outlineLevel="0" collapsed="false">
      <c r="A14" s="8" t="s">
        <v>1053</v>
      </c>
      <c r="B14" s="8" t="s">
        <v>428</v>
      </c>
      <c r="C14" s="8" t="s">
        <v>715</v>
      </c>
      <c r="D14" s="8" t="s">
        <v>647</v>
      </c>
      <c r="E14" s="8" t="s">
        <v>1041</v>
      </c>
      <c r="F14" s="8" t="s">
        <v>557</v>
      </c>
      <c r="G14" s="8" t="s">
        <v>1042</v>
      </c>
      <c r="H14" s="8" t="s">
        <v>1054</v>
      </c>
      <c r="I14" s="8" t="s">
        <v>1044</v>
      </c>
      <c r="J14" s="8" t="s">
        <v>424</v>
      </c>
      <c r="K14" s="8" t="s">
        <v>719</v>
      </c>
      <c r="L14" s="8" t="s">
        <v>720</v>
      </c>
      <c r="M14" s="8" t="s">
        <v>1055</v>
      </c>
      <c r="N14" s="8" t="s">
        <v>138</v>
      </c>
    </row>
    <row r="15" customFormat="false" ht="23.85" hidden="false" customHeight="false" outlineLevel="0" collapsed="false">
      <c r="A15" s="8" t="s">
        <v>1053</v>
      </c>
      <c r="B15" s="8" t="s">
        <v>428</v>
      </c>
      <c r="C15" s="8" t="s">
        <v>715</v>
      </c>
      <c r="D15" s="8" t="s">
        <v>1052</v>
      </c>
      <c r="E15" s="8" t="s">
        <v>1051</v>
      </c>
      <c r="F15" s="8" t="s">
        <v>557</v>
      </c>
      <c r="G15" s="8" t="s">
        <v>1042</v>
      </c>
      <c r="H15" s="8" t="s">
        <v>1054</v>
      </c>
      <c r="I15" s="8" t="s">
        <v>1044</v>
      </c>
      <c r="J15" s="8" t="s">
        <v>424</v>
      </c>
      <c r="K15" s="8" t="s">
        <v>719</v>
      </c>
      <c r="L15" s="8" t="s">
        <v>720</v>
      </c>
      <c r="M15" s="8" t="s">
        <v>1055</v>
      </c>
      <c r="N15" s="8" t="s">
        <v>138</v>
      </c>
    </row>
    <row r="16" customFormat="false" ht="23.85" hidden="false" customHeight="false" outlineLevel="0" collapsed="false">
      <c r="A16" s="8" t="s">
        <v>1053</v>
      </c>
      <c r="B16" s="8" t="s">
        <v>428</v>
      </c>
      <c r="C16" s="8" t="s">
        <v>715</v>
      </c>
      <c r="D16" s="8" t="s">
        <v>594</v>
      </c>
      <c r="E16" s="8" t="s">
        <v>1051</v>
      </c>
      <c r="F16" s="8" t="s">
        <v>557</v>
      </c>
      <c r="G16" s="8" t="s">
        <v>1042</v>
      </c>
      <c r="H16" s="8" t="s">
        <v>1054</v>
      </c>
      <c r="I16" s="8" t="s">
        <v>1044</v>
      </c>
      <c r="J16" s="8" t="s">
        <v>424</v>
      </c>
      <c r="K16" s="8" t="s">
        <v>719</v>
      </c>
      <c r="L16" s="8" t="s">
        <v>720</v>
      </c>
      <c r="M16" s="8" t="s">
        <v>1055</v>
      </c>
      <c r="N16" s="8" t="s">
        <v>138</v>
      </c>
    </row>
    <row r="17" customFormat="false" ht="23.85" hidden="false" customHeight="false" outlineLevel="0" collapsed="false">
      <c r="A17" s="8" t="s">
        <v>1056</v>
      </c>
      <c r="B17" s="8" t="s">
        <v>444</v>
      </c>
      <c r="C17" s="8" t="s">
        <v>305</v>
      </c>
      <c r="D17" s="8" t="s">
        <v>555</v>
      </c>
      <c r="E17" s="8" t="s">
        <v>1041</v>
      </c>
      <c r="F17" s="8" t="s">
        <v>557</v>
      </c>
      <c r="G17" s="8" t="s">
        <v>1042</v>
      </c>
      <c r="H17" s="8" t="s">
        <v>1057</v>
      </c>
      <c r="I17" s="8" t="s">
        <v>1044</v>
      </c>
      <c r="J17" s="8" t="s">
        <v>424</v>
      </c>
      <c r="K17" s="8" t="s">
        <v>774</v>
      </c>
      <c r="L17" s="8" t="s">
        <v>775</v>
      </c>
      <c r="M17" s="8" t="s">
        <v>1058</v>
      </c>
      <c r="N17" s="8" t="s">
        <v>138</v>
      </c>
    </row>
    <row r="18" customFormat="false" ht="23.85" hidden="false" customHeight="false" outlineLevel="0" collapsed="false">
      <c r="A18" s="8" t="s">
        <v>1056</v>
      </c>
      <c r="B18" s="8" t="s">
        <v>444</v>
      </c>
      <c r="C18" s="8" t="s">
        <v>305</v>
      </c>
      <c r="D18" s="8" t="s">
        <v>643</v>
      </c>
      <c r="E18" s="8" t="s">
        <v>1046</v>
      </c>
      <c r="F18" s="8" t="s">
        <v>557</v>
      </c>
      <c r="G18" s="8" t="s">
        <v>1042</v>
      </c>
      <c r="H18" s="8" t="s">
        <v>1057</v>
      </c>
      <c r="I18" s="8" t="s">
        <v>1044</v>
      </c>
      <c r="J18" s="8" t="s">
        <v>424</v>
      </c>
      <c r="K18" s="8" t="s">
        <v>774</v>
      </c>
      <c r="L18" s="8" t="s">
        <v>775</v>
      </c>
      <c r="M18" s="8" t="s">
        <v>1058</v>
      </c>
      <c r="N18" s="8" t="s">
        <v>138</v>
      </c>
    </row>
    <row r="19" customFormat="false" ht="23.85" hidden="false" customHeight="false" outlineLevel="0" collapsed="false">
      <c r="A19" s="8" t="s">
        <v>1056</v>
      </c>
      <c r="B19" s="8" t="s">
        <v>444</v>
      </c>
      <c r="C19" s="8" t="s">
        <v>305</v>
      </c>
      <c r="D19" s="8" t="s">
        <v>1047</v>
      </c>
      <c r="E19" s="8" t="s">
        <v>1048</v>
      </c>
      <c r="F19" s="8" t="s">
        <v>557</v>
      </c>
      <c r="G19" s="8" t="s">
        <v>1042</v>
      </c>
      <c r="H19" s="8" t="s">
        <v>1057</v>
      </c>
      <c r="I19" s="8" t="s">
        <v>1044</v>
      </c>
      <c r="J19" s="8" t="s">
        <v>424</v>
      </c>
      <c r="K19" s="8" t="s">
        <v>774</v>
      </c>
      <c r="L19" s="8" t="s">
        <v>775</v>
      </c>
      <c r="M19" s="8" t="s">
        <v>1058</v>
      </c>
      <c r="N19" s="8" t="s">
        <v>138</v>
      </c>
    </row>
    <row r="20" customFormat="false" ht="23.85" hidden="false" customHeight="false" outlineLevel="0" collapsed="false">
      <c r="A20" s="8" t="s">
        <v>1056</v>
      </c>
      <c r="B20" s="8" t="s">
        <v>444</v>
      </c>
      <c r="C20" s="8" t="s">
        <v>305</v>
      </c>
      <c r="D20" s="8" t="s">
        <v>655</v>
      </c>
      <c r="E20" s="8" t="s">
        <v>1041</v>
      </c>
      <c r="F20" s="8" t="s">
        <v>557</v>
      </c>
      <c r="G20" s="8" t="s">
        <v>773</v>
      </c>
      <c r="H20" s="8" t="s">
        <v>1057</v>
      </c>
      <c r="I20" s="8" t="s">
        <v>1044</v>
      </c>
      <c r="J20" s="8" t="s">
        <v>424</v>
      </c>
      <c r="K20" s="8" t="s">
        <v>774</v>
      </c>
      <c r="L20" s="8" t="s">
        <v>775</v>
      </c>
      <c r="M20" s="8" t="s">
        <v>1058</v>
      </c>
      <c r="N20" s="8" t="s">
        <v>138</v>
      </c>
    </row>
    <row r="21" customFormat="false" ht="23.85" hidden="false" customHeight="false" outlineLevel="0" collapsed="false">
      <c r="A21" s="8" t="s">
        <v>1056</v>
      </c>
      <c r="B21" s="8" t="s">
        <v>444</v>
      </c>
      <c r="C21" s="8" t="s">
        <v>305</v>
      </c>
      <c r="D21" s="8" t="s">
        <v>1059</v>
      </c>
      <c r="E21" s="8" t="s">
        <v>1041</v>
      </c>
      <c r="F21" s="8" t="s">
        <v>557</v>
      </c>
      <c r="G21" s="8" t="s">
        <v>1042</v>
      </c>
      <c r="H21" s="8" t="s">
        <v>1057</v>
      </c>
      <c r="I21" s="8" t="s">
        <v>1044</v>
      </c>
      <c r="J21" s="8" t="s">
        <v>424</v>
      </c>
      <c r="K21" s="8" t="s">
        <v>774</v>
      </c>
      <c r="L21" s="8" t="s">
        <v>775</v>
      </c>
      <c r="M21" s="8" t="s">
        <v>1058</v>
      </c>
      <c r="N21" s="8" t="s">
        <v>138</v>
      </c>
    </row>
    <row r="22" customFormat="false" ht="23.85" hidden="false" customHeight="false" outlineLevel="0" collapsed="false">
      <c r="A22" s="8" t="s">
        <v>1056</v>
      </c>
      <c r="B22" s="8" t="s">
        <v>444</v>
      </c>
      <c r="C22" s="8" t="s">
        <v>305</v>
      </c>
      <c r="D22" s="8" t="s">
        <v>1060</v>
      </c>
      <c r="E22" s="8" t="s">
        <v>1051</v>
      </c>
      <c r="F22" s="8" t="s">
        <v>557</v>
      </c>
      <c r="G22" s="8" t="s">
        <v>1042</v>
      </c>
      <c r="H22" s="8" t="s">
        <v>1057</v>
      </c>
      <c r="I22" s="8" t="s">
        <v>1044</v>
      </c>
      <c r="J22" s="8" t="s">
        <v>424</v>
      </c>
      <c r="K22" s="8" t="s">
        <v>774</v>
      </c>
      <c r="L22" s="8" t="s">
        <v>775</v>
      </c>
      <c r="M22" s="8" t="s">
        <v>1058</v>
      </c>
      <c r="N22" s="8" t="s">
        <v>138</v>
      </c>
    </row>
    <row r="23" customFormat="false" ht="23.85" hidden="false" customHeight="false" outlineLevel="0" collapsed="false">
      <c r="A23" s="8" t="s">
        <v>1056</v>
      </c>
      <c r="B23" s="8" t="s">
        <v>444</v>
      </c>
      <c r="C23" s="8" t="s">
        <v>305</v>
      </c>
      <c r="D23" s="8" t="s">
        <v>1061</v>
      </c>
      <c r="E23" s="8" t="s">
        <v>1051</v>
      </c>
      <c r="F23" s="8" t="s">
        <v>557</v>
      </c>
      <c r="G23" s="8" t="s">
        <v>1042</v>
      </c>
      <c r="H23" s="8" t="s">
        <v>1057</v>
      </c>
      <c r="I23" s="8" t="s">
        <v>1044</v>
      </c>
      <c r="J23" s="8" t="s">
        <v>424</v>
      </c>
      <c r="K23" s="8" t="s">
        <v>774</v>
      </c>
      <c r="L23" s="8" t="s">
        <v>775</v>
      </c>
      <c r="M23" s="8" t="s">
        <v>1058</v>
      </c>
      <c r="N23" s="8" t="s">
        <v>138</v>
      </c>
    </row>
    <row r="24" customFormat="false" ht="23.85" hidden="false" customHeight="false" outlineLevel="0" collapsed="false">
      <c r="A24" s="8" t="s">
        <v>1056</v>
      </c>
      <c r="B24" s="8" t="s">
        <v>444</v>
      </c>
      <c r="C24" s="8" t="s">
        <v>305</v>
      </c>
      <c r="D24" s="8" t="s">
        <v>647</v>
      </c>
      <c r="E24" s="8" t="s">
        <v>1041</v>
      </c>
      <c r="F24" s="8" t="s">
        <v>557</v>
      </c>
      <c r="G24" s="8" t="s">
        <v>1042</v>
      </c>
      <c r="H24" s="8" t="s">
        <v>1057</v>
      </c>
      <c r="I24" s="8" t="s">
        <v>1044</v>
      </c>
      <c r="J24" s="8" t="s">
        <v>424</v>
      </c>
      <c r="K24" s="8" t="s">
        <v>774</v>
      </c>
      <c r="L24" s="8" t="s">
        <v>775</v>
      </c>
      <c r="M24" s="8" t="s">
        <v>1058</v>
      </c>
      <c r="N24" s="8" t="s">
        <v>138</v>
      </c>
    </row>
    <row r="25" customFormat="false" ht="46.25" hidden="false" customHeight="false" outlineLevel="0" collapsed="false">
      <c r="A25" s="8" t="s">
        <v>1062</v>
      </c>
      <c r="B25" s="8" t="s">
        <v>446</v>
      </c>
      <c r="C25" s="8" t="s">
        <v>777</v>
      </c>
      <c r="D25" s="8" t="s">
        <v>555</v>
      </c>
      <c r="E25" s="8" t="s">
        <v>1041</v>
      </c>
      <c r="F25" s="8" t="s">
        <v>557</v>
      </c>
      <c r="G25" s="8" t="s">
        <v>1042</v>
      </c>
      <c r="H25" s="8" t="s">
        <v>1063</v>
      </c>
      <c r="I25" s="8" t="s">
        <v>1044</v>
      </c>
      <c r="J25" s="8" t="s">
        <v>424</v>
      </c>
      <c r="K25" s="8" t="s">
        <v>782</v>
      </c>
      <c r="L25" s="8" t="s">
        <v>783</v>
      </c>
      <c r="M25" s="8" t="s">
        <v>1064</v>
      </c>
      <c r="N25" s="8" t="s">
        <v>138</v>
      </c>
    </row>
    <row r="26" customFormat="false" ht="46.25" hidden="false" customHeight="false" outlineLevel="0" collapsed="false">
      <c r="A26" s="8" t="s">
        <v>1062</v>
      </c>
      <c r="B26" s="8" t="s">
        <v>446</v>
      </c>
      <c r="C26" s="8" t="s">
        <v>777</v>
      </c>
      <c r="D26" s="8" t="s">
        <v>643</v>
      </c>
      <c r="E26" s="8" t="s">
        <v>1046</v>
      </c>
      <c r="F26" s="8" t="s">
        <v>557</v>
      </c>
      <c r="G26" s="8" t="s">
        <v>1042</v>
      </c>
      <c r="H26" s="8" t="s">
        <v>1063</v>
      </c>
      <c r="I26" s="8" t="s">
        <v>1044</v>
      </c>
      <c r="J26" s="8" t="s">
        <v>424</v>
      </c>
      <c r="K26" s="8" t="s">
        <v>782</v>
      </c>
      <c r="L26" s="8" t="s">
        <v>783</v>
      </c>
      <c r="M26" s="8" t="s">
        <v>1064</v>
      </c>
      <c r="N26" s="8" t="s">
        <v>138</v>
      </c>
    </row>
    <row r="27" customFormat="false" ht="46.25" hidden="false" customHeight="false" outlineLevel="0" collapsed="false">
      <c r="A27" s="8" t="s">
        <v>1062</v>
      </c>
      <c r="B27" s="8" t="s">
        <v>446</v>
      </c>
      <c r="C27" s="8" t="s">
        <v>777</v>
      </c>
      <c r="D27" s="8" t="s">
        <v>1047</v>
      </c>
      <c r="E27" s="8" t="s">
        <v>1048</v>
      </c>
      <c r="F27" s="8" t="s">
        <v>557</v>
      </c>
      <c r="G27" s="8" t="s">
        <v>1042</v>
      </c>
      <c r="H27" s="8" t="s">
        <v>1063</v>
      </c>
      <c r="I27" s="8" t="s">
        <v>1044</v>
      </c>
      <c r="J27" s="8" t="s">
        <v>424</v>
      </c>
      <c r="K27" s="8" t="s">
        <v>782</v>
      </c>
      <c r="L27" s="8" t="s">
        <v>783</v>
      </c>
      <c r="M27" s="8" t="s">
        <v>1064</v>
      </c>
      <c r="N27" s="8" t="s">
        <v>138</v>
      </c>
    </row>
    <row r="28" customFormat="false" ht="46.25" hidden="false" customHeight="false" outlineLevel="0" collapsed="false">
      <c r="A28" s="8" t="s">
        <v>1062</v>
      </c>
      <c r="B28" s="8" t="s">
        <v>446</v>
      </c>
      <c r="C28" s="8" t="s">
        <v>777</v>
      </c>
      <c r="D28" s="8" t="s">
        <v>655</v>
      </c>
      <c r="E28" s="8" t="s">
        <v>1041</v>
      </c>
      <c r="F28" s="8" t="s">
        <v>557</v>
      </c>
      <c r="G28" s="8" t="s">
        <v>781</v>
      </c>
      <c r="H28" s="8" t="s">
        <v>1063</v>
      </c>
      <c r="I28" s="8" t="s">
        <v>1044</v>
      </c>
      <c r="J28" s="8" t="s">
        <v>424</v>
      </c>
      <c r="K28" s="8" t="s">
        <v>782</v>
      </c>
      <c r="L28" s="8" t="s">
        <v>783</v>
      </c>
      <c r="M28" s="8" t="s">
        <v>1064</v>
      </c>
      <c r="N28" s="8" t="s">
        <v>138</v>
      </c>
    </row>
    <row r="29" customFormat="false" ht="46.25" hidden="false" customHeight="false" outlineLevel="0" collapsed="false">
      <c r="A29" s="8" t="s">
        <v>1062</v>
      </c>
      <c r="B29" s="8" t="s">
        <v>446</v>
      </c>
      <c r="C29" s="8" t="s">
        <v>777</v>
      </c>
      <c r="D29" s="8" t="s">
        <v>1059</v>
      </c>
      <c r="E29" s="8" t="s">
        <v>1041</v>
      </c>
      <c r="F29" s="8" t="s">
        <v>557</v>
      </c>
      <c r="G29" s="8" t="s">
        <v>1042</v>
      </c>
      <c r="H29" s="8" t="s">
        <v>1063</v>
      </c>
      <c r="I29" s="8" t="s">
        <v>1044</v>
      </c>
      <c r="J29" s="8" t="s">
        <v>424</v>
      </c>
      <c r="K29" s="8" t="s">
        <v>782</v>
      </c>
      <c r="L29" s="8" t="s">
        <v>783</v>
      </c>
      <c r="M29" s="8" t="s">
        <v>1064</v>
      </c>
      <c r="N29" s="8" t="s">
        <v>138</v>
      </c>
    </row>
    <row r="30" customFormat="false" ht="46.25" hidden="false" customHeight="false" outlineLevel="0" collapsed="false">
      <c r="A30" s="8" t="s">
        <v>1062</v>
      </c>
      <c r="B30" s="8" t="s">
        <v>446</v>
      </c>
      <c r="C30" s="8" t="s">
        <v>777</v>
      </c>
      <c r="D30" s="8" t="s">
        <v>1060</v>
      </c>
      <c r="E30" s="8" t="s">
        <v>1051</v>
      </c>
      <c r="F30" s="8" t="s">
        <v>557</v>
      </c>
      <c r="G30" s="8" t="s">
        <v>1042</v>
      </c>
      <c r="H30" s="8" t="s">
        <v>1063</v>
      </c>
      <c r="I30" s="8" t="s">
        <v>1044</v>
      </c>
      <c r="J30" s="8" t="s">
        <v>424</v>
      </c>
      <c r="K30" s="8" t="s">
        <v>782</v>
      </c>
      <c r="L30" s="8" t="s">
        <v>783</v>
      </c>
      <c r="M30" s="8" t="s">
        <v>1064</v>
      </c>
      <c r="N30" s="8" t="s">
        <v>138</v>
      </c>
    </row>
    <row r="31" customFormat="false" ht="46.25" hidden="false" customHeight="false" outlineLevel="0" collapsed="false">
      <c r="A31" s="8" t="s">
        <v>1062</v>
      </c>
      <c r="B31" s="8" t="s">
        <v>446</v>
      </c>
      <c r="C31" s="8" t="s">
        <v>777</v>
      </c>
      <c r="D31" s="8" t="s">
        <v>1061</v>
      </c>
      <c r="E31" s="8" t="s">
        <v>1051</v>
      </c>
      <c r="F31" s="8" t="s">
        <v>557</v>
      </c>
      <c r="G31" s="8" t="s">
        <v>1042</v>
      </c>
      <c r="H31" s="8" t="s">
        <v>1063</v>
      </c>
      <c r="I31" s="8" t="s">
        <v>1044</v>
      </c>
      <c r="J31" s="8" t="s">
        <v>424</v>
      </c>
      <c r="K31" s="8" t="s">
        <v>782</v>
      </c>
      <c r="L31" s="8" t="s">
        <v>783</v>
      </c>
      <c r="M31" s="8" t="s">
        <v>1064</v>
      </c>
      <c r="N31" s="8" t="s">
        <v>138</v>
      </c>
    </row>
    <row r="32" customFormat="false" ht="46.25" hidden="false" customHeight="false" outlineLevel="0" collapsed="false">
      <c r="A32" s="8" t="s">
        <v>1062</v>
      </c>
      <c r="B32" s="8" t="s">
        <v>446</v>
      </c>
      <c r="C32" s="8" t="s">
        <v>777</v>
      </c>
      <c r="D32" s="8" t="s">
        <v>1065</v>
      </c>
      <c r="E32" s="8" t="s">
        <v>1066</v>
      </c>
      <c r="F32" s="8" t="s">
        <v>557</v>
      </c>
      <c r="G32" s="8" t="s">
        <v>1042</v>
      </c>
      <c r="H32" s="8" t="s">
        <v>1063</v>
      </c>
      <c r="I32" s="8" t="s">
        <v>1044</v>
      </c>
      <c r="J32" s="8" t="s">
        <v>424</v>
      </c>
      <c r="K32" s="8" t="s">
        <v>782</v>
      </c>
      <c r="L32" s="8" t="s">
        <v>783</v>
      </c>
      <c r="M32" s="8" t="s">
        <v>1064</v>
      </c>
      <c r="N32" s="8" t="s">
        <v>138</v>
      </c>
    </row>
    <row r="33" customFormat="false" ht="46.25" hidden="false" customHeight="false" outlineLevel="0" collapsed="false">
      <c r="A33" s="8" t="s">
        <v>1062</v>
      </c>
      <c r="B33" s="8" t="s">
        <v>446</v>
      </c>
      <c r="C33" s="8" t="s">
        <v>777</v>
      </c>
      <c r="D33" s="8" t="s">
        <v>1067</v>
      </c>
      <c r="E33" s="8" t="s">
        <v>1051</v>
      </c>
      <c r="F33" s="8" t="s">
        <v>557</v>
      </c>
      <c r="G33" s="8" t="s">
        <v>1042</v>
      </c>
      <c r="H33" s="8" t="s">
        <v>1063</v>
      </c>
      <c r="I33" s="8" t="s">
        <v>1044</v>
      </c>
      <c r="J33" s="8" t="s">
        <v>424</v>
      </c>
      <c r="K33" s="8" t="s">
        <v>782</v>
      </c>
      <c r="L33" s="8" t="s">
        <v>783</v>
      </c>
      <c r="M33" s="8" t="s">
        <v>1064</v>
      </c>
      <c r="N33" s="8" t="s">
        <v>138</v>
      </c>
    </row>
    <row r="34" customFormat="false" ht="46.25" hidden="false" customHeight="false" outlineLevel="0" collapsed="false">
      <c r="A34" s="8" t="s">
        <v>1062</v>
      </c>
      <c r="B34" s="8" t="s">
        <v>446</v>
      </c>
      <c r="C34" s="8" t="s">
        <v>777</v>
      </c>
      <c r="D34" s="8" t="s">
        <v>1068</v>
      </c>
      <c r="E34" s="8" t="s">
        <v>1069</v>
      </c>
      <c r="F34" s="8" t="s">
        <v>557</v>
      </c>
      <c r="G34" s="8" t="s">
        <v>1042</v>
      </c>
      <c r="H34" s="8" t="s">
        <v>1063</v>
      </c>
      <c r="I34" s="8" t="s">
        <v>1044</v>
      </c>
      <c r="J34" s="8" t="s">
        <v>424</v>
      </c>
      <c r="K34" s="8" t="s">
        <v>782</v>
      </c>
      <c r="L34" s="8" t="s">
        <v>783</v>
      </c>
      <c r="M34" s="8" t="s">
        <v>1064</v>
      </c>
      <c r="N34" s="8" t="s">
        <v>138</v>
      </c>
    </row>
    <row r="35" customFormat="false" ht="46.25" hidden="false" customHeight="false" outlineLevel="0" collapsed="false">
      <c r="A35" s="8" t="s">
        <v>1062</v>
      </c>
      <c r="B35" s="8" t="s">
        <v>446</v>
      </c>
      <c r="C35" s="8" t="s">
        <v>777</v>
      </c>
      <c r="D35" s="8" t="s">
        <v>1070</v>
      </c>
      <c r="E35" s="8" t="s">
        <v>1051</v>
      </c>
      <c r="F35" s="8" t="s">
        <v>557</v>
      </c>
      <c r="G35" s="8" t="s">
        <v>1042</v>
      </c>
      <c r="H35" s="8" t="s">
        <v>1063</v>
      </c>
      <c r="I35" s="8" t="s">
        <v>1044</v>
      </c>
      <c r="J35" s="8" t="s">
        <v>424</v>
      </c>
      <c r="K35" s="8" t="s">
        <v>782</v>
      </c>
      <c r="L35" s="8" t="s">
        <v>783</v>
      </c>
      <c r="M35" s="8" t="s">
        <v>1064</v>
      </c>
      <c r="N35" s="8" t="s">
        <v>138</v>
      </c>
    </row>
    <row r="36" customFormat="false" ht="35.05" hidden="false" customHeight="false" outlineLevel="0" collapsed="false">
      <c r="A36" s="8" t="s">
        <v>1071</v>
      </c>
      <c r="B36" s="8" t="s">
        <v>785</v>
      </c>
      <c r="C36" s="8" t="s">
        <v>786</v>
      </c>
      <c r="D36" s="8" t="s">
        <v>555</v>
      </c>
      <c r="E36" s="8" t="s">
        <v>1041</v>
      </c>
      <c r="F36" s="8" t="s">
        <v>557</v>
      </c>
      <c r="G36" s="8" t="s">
        <v>1042</v>
      </c>
      <c r="H36" s="8" t="s">
        <v>1072</v>
      </c>
      <c r="I36" s="8" t="s">
        <v>1044</v>
      </c>
      <c r="J36" s="8" t="s">
        <v>424</v>
      </c>
      <c r="K36" s="8" t="s">
        <v>791</v>
      </c>
      <c r="L36" s="8" t="s">
        <v>792</v>
      </c>
      <c r="M36" s="8" t="s">
        <v>1073</v>
      </c>
      <c r="N36" s="8" t="s">
        <v>132</v>
      </c>
    </row>
    <row r="37" customFormat="false" ht="35.05" hidden="false" customHeight="false" outlineLevel="0" collapsed="false">
      <c r="A37" s="8" t="s">
        <v>1071</v>
      </c>
      <c r="B37" s="8" t="s">
        <v>785</v>
      </c>
      <c r="C37" s="8" t="s">
        <v>786</v>
      </c>
      <c r="D37" s="8" t="s">
        <v>643</v>
      </c>
      <c r="E37" s="8" t="s">
        <v>1046</v>
      </c>
      <c r="F37" s="8" t="s">
        <v>557</v>
      </c>
      <c r="G37" s="8" t="s">
        <v>1042</v>
      </c>
      <c r="H37" s="8" t="s">
        <v>1072</v>
      </c>
      <c r="I37" s="8" t="s">
        <v>1044</v>
      </c>
      <c r="J37" s="8" t="s">
        <v>424</v>
      </c>
      <c r="K37" s="8" t="s">
        <v>791</v>
      </c>
      <c r="L37" s="8" t="s">
        <v>792</v>
      </c>
      <c r="M37" s="8" t="s">
        <v>1073</v>
      </c>
      <c r="N37" s="8" t="s">
        <v>132</v>
      </c>
    </row>
    <row r="38" customFormat="false" ht="35.05" hidden="false" customHeight="false" outlineLevel="0" collapsed="false">
      <c r="A38" s="8" t="s">
        <v>1071</v>
      </c>
      <c r="B38" s="8" t="s">
        <v>785</v>
      </c>
      <c r="C38" s="8" t="s">
        <v>786</v>
      </c>
      <c r="D38" s="8" t="s">
        <v>1047</v>
      </c>
      <c r="E38" s="8" t="s">
        <v>1048</v>
      </c>
      <c r="F38" s="8" t="s">
        <v>557</v>
      </c>
      <c r="G38" s="8" t="s">
        <v>1042</v>
      </c>
      <c r="H38" s="8" t="s">
        <v>1072</v>
      </c>
      <c r="I38" s="8" t="s">
        <v>1044</v>
      </c>
      <c r="J38" s="8" t="s">
        <v>424</v>
      </c>
      <c r="K38" s="8" t="s">
        <v>791</v>
      </c>
      <c r="L38" s="8" t="s">
        <v>792</v>
      </c>
      <c r="M38" s="8" t="s">
        <v>1073</v>
      </c>
      <c r="N38" s="8" t="s">
        <v>132</v>
      </c>
    </row>
    <row r="39" customFormat="false" ht="35.05" hidden="false" customHeight="false" outlineLevel="0" collapsed="false">
      <c r="A39" s="8" t="s">
        <v>1071</v>
      </c>
      <c r="B39" s="8" t="s">
        <v>785</v>
      </c>
      <c r="C39" s="8" t="s">
        <v>786</v>
      </c>
      <c r="D39" s="8" t="s">
        <v>655</v>
      </c>
      <c r="E39" s="8" t="s">
        <v>1041</v>
      </c>
      <c r="F39" s="8" t="s">
        <v>557</v>
      </c>
      <c r="G39" s="8" t="s">
        <v>790</v>
      </c>
      <c r="H39" s="8" t="s">
        <v>1072</v>
      </c>
      <c r="I39" s="8" t="s">
        <v>1044</v>
      </c>
      <c r="J39" s="8" t="s">
        <v>424</v>
      </c>
      <c r="K39" s="8" t="s">
        <v>791</v>
      </c>
      <c r="L39" s="8" t="s">
        <v>792</v>
      </c>
      <c r="M39" s="8" t="s">
        <v>1073</v>
      </c>
      <c r="N39" s="8" t="s">
        <v>132</v>
      </c>
    </row>
    <row r="40" customFormat="false" ht="35.05" hidden="false" customHeight="false" outlineLevel="0" collapsed="false">
      <c r="A40" s="8" t="s">
        <v>1071</v>
      </c>
      <c r="B40" s="8" t="s">
        <v>785</v>
      </c>
      <c r="C40" s="8" t="s">
        <v>786</v>
      </c>
      <c r="D40" s="8" t="s">
        <v>1059</v>
      </c>
      <c r="E40" s="8" t="s">
        <v>1041</v>
      </c>
      <c r="F40" s="8" t="s">
        <v>557</v>
      </c>
      <c r="G40" s="8" t="s">
        <v>1042</v>
      </c>
      <c r="H40" s="8" t="s">
        <v>1072</v>
      </c>
      <c r="I40" s="8" t="s">
        <v>1044</v>
      </c>
      <c r="J40" s="8" t="s">
        <v>424</v>
      </c>
      <c r="K40" s="8" t="s">
        <v>791</v>
      </c>
      <c r="L40" s="8" t="s">
        <v>792</v>
      </c>
      <c r="M40" s="8" t="s">
        <v>1073</v>
      </c>
      <c r="N40" s="8" t="s">
        <v>132</v>
      </c>
    </row>
    <row r="41" customFormat="false" ht="35.05" hidden="false" customHeight="false" outlineLevel="0" collapsed="false">
      <c r="A41" s="8" t="s">
        <v>1071</v>
      </c>
      <c r="B41" s="8" t="s">
        <v>785</v>
      </c>
      <c r="C41" s="8" t="s">
        <v>786</v>
      </c>
      <c r="D41" s="8" t="s">
        <v>1074</v>
      </c>
      <c r="E41" s="8" t="s">
        <v>1075</v>
      </c>
      <c r="F41" s="8" t="s">
        <v>557</v>
      </c>
      <c r="G41" s="8" t="s">
        <v>1042</v>
      </c>
      <c r="H41" s="8" t="s">
        <v>1072</v>
      </c>
      <c r="I41" s="8" t="s">
        <v>1044</v>
      </c>
      <c r="J41" s="8" t="s">
        <v>424</v>
      </c>
      <c r="K41" s="8" t="s">
        <v>791</v>
      </c>
      <c r="L41" s="8" t="s">
        <v>792</v>
      </c>
      <c r="M41" s="8" t="s">
        <v>1073</v>
      </c>
      <c r="N41" s="8" t="s">
        <v>132</v>
      </c>
    </row>
    <row r="42" customFormat="false" ht="35.05" hidden="false" customHeight="false" outlineLevel="0" collapsed="false">
      <c r="A42" s="8" t="s">
        <v>1071</v>
      </c>
      <c r="B42" s="8" t="s">
        <v>785</v>
      </c>
      <c r="C42" s="8" t="s">
        <v>786</v>
      </c>
      <c r="D42" s="8" t="s">
        <v>1076</v>
      </c>
      <c r="E42" s="8" t="s">
        <v>1077</v>
      </c>
      <c r="F42" s="8" t="s">
        <v>557</v>
      </c>
      <c r="G42" s="8" t="s">
        <v>1042</v>
      </c>
      <c r="H42" s="8" t="s">
        <v>1072</v>
      </c>
      <c r="I42" s="8" t="s">
        <v>1044</v>
      </c>
      <c r="J42" s="8" t="s">
        <v>424</v>
      </c>
      <c r="K42" s="8" t="s">
        <v>791</v>
      </c>
      <c r="L42" s="8" t="s">
        <v>792</v>
      </c>
      <c r="M42" s="8" t="s">
        <v>1073</v>
      </c>
      <c r="N42" s="8" t="s">
        <v>132</v>
      </c>
    </row>
    <row r="43" customFormat="false" ht="35.05" hidden="false" customHeight="false" outlineLevel="0" collapsed="false">
      <c r="A43" s="8" t="s">
        <v>1078</v>
      </c>
      <c r="B43" s="8" t="s">
        <v>454</v>
      </c>
      <c r="C43" s="8" t="s">
        <v>804</v>
      </c>
      <c r="D43" s="8" t="s">
        <v>555</v>
      </c>
      <c r="E43" s="8" t="s">
        <v>1041</v>
      </c>
      <c r="F43" s="8" t="s">
        <v>557</v>
      </c>
      <c r="G43" s="8" t="s">
        <v>1042</v>
      </c>
      <c r="H43" s="8" t="s">
        <v>1079</v>
      </c>
      <c r="I43" s="8" t="s">
        <v>1044</v>
      </c>
      <c r="J43" s="8" t="s">
        <v>424</v>
      </c>
      <c r="K43" s="8" t="s">
        <v>809</v>
      </c>
      <c r="L43" s="8" t="s">
        <v>810</v>
      </c>
      <c r="M43" s="8" t="s">
        <v>1080</v>
      </c>
      <c r="N43" s="8" t="s">
        <v>138</v>
      </c>
    </row>
    <row r="44" customFormat="false" ht="35.05" hidden="false" customHeight="false" outlineLevel="0" collapsed="false">
      <c r="A44" s="8" t="s">
        <v>1078</v>
      </c>
      <c r="B44" s="8" t="s">
        <v>454</v>
      </c>
      <c r="C44" s="8" t="s">
        <v>804</v>
      </c>
      <c r="D44" s="8" t="s">
        <v>643</v>
      </c>
      <c r="E44" s="8" t="s">
        <v>1046</v>
      </c>
      <c r="F44" s="8" t="s">
        <v>557</v>
      </c>
      <c r="G44" s="8" t="s">
        <v>1042</v>
      </c>
      <c r="H44" s="8" t="s">
        <v>1079</v>
      </c>
      <c r="I44" s="8" t="s">
        <v>1044</v>
      </c>
      <c r="J44" s="8" t="s">
        <v>424</v>
      </c>
      <c r="K44" s="8" t="s">
        <v>809</v>
      </c>
      <c r="L44" s="8" t="s">
        <v>810</v>
      </c>
      <c r="M44" s="8" t="s">
        <v>1080</v>
      </c>
      <c r="N44" s="8" t="s">
        <v>138</v>
      </c>
    </row>
    <row r="45" customFormat="false" ht="35.05" hidden="false" customHeight="false" outlineLevel="0" collapsed="false">
      <c r="A45" s="8" t="s">
        <v>1078</v>
      </c>
      <c r="B45" s="8" t="s">
        <v>454</v>
      </c>
      <c r="C45" s="8" t="s">
        <v>804</v>
      </c>
      <c r="D45" s="8" t="s">
        <v>1047</v>
      </c>
      <c r="E45" s="8" t="s">
        <v>1048</v>
      </c>
      <c r="F45" s="8" t="s">
        <v>557</v>
      </c>
      <c r="G45" s="8" t="s">
        <v>1042</v>
      </c>
      <c r="H45" s="8" t="s">
        <v>1079</v>
      </c>
      <c r="I45" s="8" t="s">
        <v>1044</v>
      </c>
      <c r="J45" s="8" t="s">
        <v>424</v>
      </c>
      <c r="K45" s="8" t="s">
        <v>809</v>
      </c>
      <c r="L45" s="8" t="s">
        <v>810</v>
      </c>
      <c r="M45" s="8" t="s">
        <v>1080</v>
      </c>
      <c r="N45" s="8" t="s">
        <v>138</v>
      </c>
    </row>
    <row r="46" customFormat="false" ht="35.05" hidden="false" customHeight="false" outlineLevel="0" collapsed="false">
      <c r="A46" s="8" t="s">
        <v>1078</v>
      </c>
      <c r="B46" s="8" t="s">
        <v>454</v>
      </c>
      <c r="C46" s="8" t="s">
        <v>804</v>
      </c>
      <c r="D46" s="8" t="s">
        <v>659</v>
      </c>
      <c r="E46" s="8" t="s">
        <v>1041</v>
      </c>
      <c r="F46" s="8" t="s">
        <v>557</v>
      </c>
      <c r="G46" s="8" t="s">
        <v>808</v>
      </c>
      <c r="H46" s="8" t="s">
        <v>1079</v>
      </c>
      <c r="I46" s="8" t="s">
        <v>1044</v>
      </c>
      <c r="J46" s="8" t="s">
        <v>424</v>
      </c>
      <c r="K46" s="8" t="s">
        <v>809</v>
      </c>
      <c r="L46" s="8" t="s">
        <v>810</v>
      </c>
      <c r="M46" s="8" t="s">
        <v>1080</v>
      </c>
      <c r="N46" s="8" t="s">
        <v>138</v>
      </c>
    </row>
    <row r="47" customFormat="false" ht="35.05" hidden="false" customHeight="false" outlineLevel="0" collapsed="false">
      <c r="A47" s="8" t="s">
        <v>1078</v>
      </c>
      <c r="B47" s="8" t="s">
        <v>454</v>
      </c>
      <c r="C47" s="8" t="s">
        <v>804</v>
      </c>
      <c r="D47" s="8" t="s">
        <v>1081</v>
      </c>
      <c r="E47" s="8" t="s">
        <v>1051</v>
      </c>
      <c r="F47" s="8" t="s">
        <v>557</v>
      </c>
      <c r="G47" s="8" t="s">
        <v>1042</v>
      </c>
      <c r="H47" s="8" t="s">
        <v>1079</v>
      </c>
      <c r="I47" s="8" t="s">
        <v>1044</v>
      </c>
      <c r="J47" s="8" t="s">
        <v>424</v>
      </c>
      <c r="K47" s="8" t="s">
        <v>809</v>
      </c>
      <c r="L47" s="8" t="s">
        <v>810</v>
      </c>
      <c r="M47" s="8" t="s">
        <v>1080</v>
      </c>
      <c r="N47" s="8" t="s">
        <v>138</v>
      </c>
    </row>
    <row r="48" customFormat="false" ht="35.05" hidden="false" customHeight="false" outlineLevel="0" collapsed="false">
      <c r="A48" s="8" t="s">
        <v>1078</v>
      </c>
      <c r="B48" s="8" t="s">
        <v>454</v>
      </c>
      <c r="C48" s="8" t="s">
        <v>804</v>
      </c>
      <c r="D48" s="8" t="s">
        <v>1082</v>
      </c>
      <c r="E48" s="8" t="s">
        <v>1041</v>
      </c>
      <c r="F48" s="8" t="s">
        <v>557</v>
      </c>
      <c r="G48" s="8" t="s">
        <v>1042</v>
      </c>
      <c r="H48" s="8" t="s">
        <v>1079</v>
      </c>
      <c r="I48" s="8" t="s">
        <v>1044</v>
      </c>
      <c r="J48" s="8" t="s">
        <v>424</v>
      </c>
      <c r="K48" s="8" t="s">
        <v>809</v>
      </c>
      <c r="L48" s="8" t="s">
        <v>810</v>
      </c>
      <c r="M48" s="8" t="s">
        <v>1080</v>
      </c>
      <c r="N48" s="8" t="s">
        <v>138</v>
      </c>
    </row>
    <row r="49" customFormat="false" ht="35.05" hidden="false" customHeight="false" outlineLevel="0" collapsed="false">
      <c r="A49" s="8" t="s">
        <v>1078</v>
      </c>
      <c r="B49" s="8" t="s">
        <v>454</v>
      </c>
      <c r="C49" s="8" t="s">
        <v>804</v>
      </c>
      <c r="D49" s="8" t="s">
        <v>1083</v>
      </c>
      <c r="E49" s="8" t="s">
        <v>1084</v>
      </c>
      <c r="F49" s="8" t="s">
        <v>557</v>
      </c>
      <c r="G49" s="8" t="s">
        <v>1042</v>
      </c>
      <c r="H49" s="8" t="s">
        <v>1079</v>
      </c>
      <c r="I49" s="8" t="s">
        <v>1044</v>
      </c>
      <c r="J49" s="8" t="s">
        <v>424</v>
      </c>
      <c r="K49" s="8" t="s">
        <v>809</v>
      </c>
      <c r="L49" s="8" t="s">
        <v>810</v>
      </c>
      <c r="M49" s="8" t="s">
        <v>1080</v>
      </c>
      <c r="N49" s="8" t="s">
        <v>138</v>
      </c>
    </row>
    <row r="50" customFormat="false" ht="35.05" hidden="false" customHeight="false" outlineLevel="0" collapsed="false">
      <c r="A50" s="8" t="s">
        <v>1078</v>
      </c>
      <c r="B50" s="8" t="s">
        <v>454</v>
      </c>
      <c r="C50" s="8" t="s">
        <v>804</v>
      </c>
      <c r="D50" s="8" t="s">
        <v>1085</v>
      </c>
      <c r="E50" s="8" t="s">
        <v>1051</v>
      </c>
      <c r="F50" s="8" t="s">
        <v>557</v>
      </c>
      <c r="G50" s="8" t="s">
        <v>1042</v>
      </c>
      <c r="H50" s="8" t="s">
        <v>1079</v>
      </c>
      <c r="I50" s="8" t="s">
        <v>1044</v>
      </c>
      <c r="J50" s="8" t="s">
        <v>424</v>
      </c>
      <c r="K50" s="8" t="s">
        <v>809</v>
      </c>
      <c r="L50" s="8" t="s">
        <v>810</v>
      </c>
      <c r="M50" s="8" t="s">
        <v>1080</v>
      </c>
      <c r="N50" s="8" t="s">
        <v>138</v>
      </c>
    </row>
    <row r="51" customFormat="false" ht="35.05" hidden="false" customHeight="false" outlineLevel="0" collapsed="false">
      <c r="A51" s="8" t="s">
        <v>1078</v>
      </c>
      <c r="B51" s="8" t="s">
        <v>454</v>
      </c>
      <c r="C51" s="8" t="s">
        <v>804</v>
      </c>
      <c r="D51" s="8" t="s">
        <v>1086</v>
      </c>
      <c r="E51" s="8" t="s">
        <v>1041</v>
      </c>
      <c r="F51" s="8" t="s">
        <v>557</v>
      </c>
      <c r="G51" s="8" t="s">
        <v>1042</v>
      </c>
      <c r="H51" s="8" t="s">
        <v>1079</v>
      </c>
      <c r="I51" s="8" t="s">
        <v>1044</v>
      </c>
      <c r="J51" s="8" t="s">
        <v>424</v>
      </c>
      <c r="K51" s="8" t="s">
        <v>809</v>
      </c>
      <c r="L51" s="8" t="s">
        <v>810</v>
      </c>
      <c r="M51" s="8" t="s">
        <v>1080</v>
      </c>
      <c r="N51" s="8" t="s">
        <v>138</v>
      </c>
    </row>
    <row r="52" customFormat="false" ht="23.85" hidden="false" customHeight="false" outlineLevel="0" collapsed="false">
      <c r="A52" s="8" t="s">
        <v>1087</v>
      </c>
      <c r="B52" s="8" t="s">
        <v>820</v>
      </c>
      <c r="C52" s="8" t="s">
        <v>821</v>
      </c>
      <c r="D52" s="8" t="s">
        <v>555</v>
      </c>
      <c r="E52" s="8" t="s">
        <v>1041</v>
      </c>
      <c r="F52" s="8" t="s">
        <v>557</v>
      </c>
      <c r="G52" s="8" t="s">
        <v>1042</v>
      </c>
      <c r="H52" s="8" t="s">
        <v>1088</v>
      </c>
      <c r="I52" s="8" t="s">
        <v>1044</v>
      </c>
      <c r="J52" s="8" t="s">
        <v>424</v>
      </c>
      <c r="K52" s="8" t="s">
        <v>826</v>
      </c>
      <c r="L52" s="8" t="s">
        <v>827</v>
      </c>
      <c r="M52" s="8" t="s">
        <v>1089</v>
      </c>
      <c r="N52" s="8" t="s">
        <v>132</v>
      </c>
    </row>
    <row r="53" customFormat="false" ht="23.85" hidden="false" customHeight="false" outlineLevel="0" collapsed="false">
      <c r="A53" s="8" t="s">
        <v>1087</v>
      </c>
      <c r="B53" s="8" t="s">
        <v>820</v>
      </c>
      <c r="C53" s="8" t="s">
        <v>821</v>
      </c>
      <c r="D53" s="8" t="s">
        <v>643</v>
      </c>
      <c r="E53" s="8" t="s">
        <v>1046</v>
      </c>
      <c r="F53" s="8" t="s">
        <v>557</v>
      </c>
      <c r="G53" s="8" t="s">
        <v>1042</v>
      </c>
      <c r="H53" s="8" t="s">
        <v>1088</v>
      </c>
      <c r="I53" s="8" t="s">
        <v>1044</v>
      </c>
      <c r="J53" s="8" t="s">
        <v>424</v>
      </c>
      <c r="K53" s="8" t="s">
        <v>826</v>
      </c>
      <c r="L53" s="8" t="s">
        <v>827</v>
      </c>
      <c r="M53" s="8" t="s">
        <v>1089</v>
      </c>
      <c r="N53" s="8" t="s">
        <v>132</v>
      </c>
    </row>
    <row r="54" customFormat="false" ht="23.85" hidden="false" customHeight="false" outlineLevel="0" collapsed="false">
      <c r="A54" s="8" t="s">
        <v>1087</v>
      </c>
      <c r="B54" s="8" t="s">
        <v>820</v>
      </c>
      <c r="C54" s="8" t="s">
        <v>821</v>
      </c>
      <c r="D54" s="8" t="s">
        <v>1047</v>
      </c>
      <c r="E54" s="8" t="s">
        <v>1048</v>
      </c>
      <c r="F54" s="8" t="s">
        <v>557</v>
      </c>
      <c r="G54" s="8" t="s">
        <v>1042</v>
      </c>
      <c r="H54" s="8" t="s">
        <v>1088</v>
      </c>
      <c r="I54" s="8" t="s">
        <v>1044</v>
      </c>
      <c r="J54" s="8" t="s">
        <v>424</v>
      </c>
      <c r="K54" s="8" t="s">
        <v>826</v>
      </c>
      <c r="L54" s="8" t="s">
        <v>827</v>
      </c>
      <c r="M54" s="8" t="s">
        <v>1089</v>
      </c>
      <c r="N54" s="8" t="s">
        <v>132</v>
      </c>
    </row>
    <row r="55" customFormat="false" ht="23.85" hidden="false" customHeight="false" outlineLevel="0" collapsed="false">
      <c r="A55" s="8" t="s">
        <v>1087</v>
      </c>
      <c r="B55" s="8" t="s">
        <v>820</v>
      </c>
      <c r="C55" s="8" t="s">
        <v>821</v>
      </c>
      <c r="D55" s="8" t="s">
        <v>659</v>
      </c>
      <c r="E55" s="8" t="s">
        <v>1041</v>
      </c>
      <c r="F55" s="8" t="s">
        <v>557</v>
      </c>
      <c r="G55" s="8" t="s">
        <v>825</v>
      </c>
      <c r="H55" s="8" t="s">
        <v>1088</v>
      </c>
      <c r="I55" s="8" t="s">
        <v>1044</v>
      </c>
      <c r="J55" s="8" t="s">
        <v>424</v>
      </c>
      <c r="K55" s="8" t="s">
        <v>826</v>
      </c>
      <c r="L55" s="8" t="s">
        <v>827</v>
      </c>
      <c r="M55" s="8" t="s">
        <v>1089</v>
      </c>
      <c r="N55" s="8" t="s">
        <v>132</v>
      </c>
    </row>
    <row r="56" customFormat="false" ht="23.85" hidden="false" customHeight="false" outlineLevel="0" collapsed="false">
      <c r="A56" s="8" t="s">
        <v>1087</v>
      </c>
      <c r="B56" s="8" t="s">
        <v>820</v>
      </c>
      <c r="C56" s="8" t="s">
        <v>821</v>
      </c>
      <c r="D56" s="8" t="s">
        <v>1090</v>
      </c>
      <c r="E56" s="8" t="s">
        <v>1041</v>
      </c>
      <c r="F56" s="8" t="s">
        <v>557</v>
      </c>
      <c r="G56" s="8" t="s">
        <v>1042</v>
      </c>
      <c r="H56" s="8" t="s">
        <v>1088</v>
      </c>
      <c r="I56" s="8" t="s">
        <v>1044</v>
      </c>
      <c r="J56" s="8" t="s">
        <v>424</v>
      </c>
      <c r="K56" s="8" t="s">
        <v>826</v>
      </c>
      <c r="L56" s="8" t="s">
        <v>827</v>
      </c>
      <c r="M56" s="8" t="s">
        <v>1089</v>
      </c>
      <c r="N56" s="8" t="s">
        <v>132</v>
      </c>
    </row>
    <row r="57" customFormat="false" ht="23.85" hidden="false" customHeight="false" outlineLevel="0" collapsed="false">
      <c r="A57" s="8" t="s">
        <v>1087</v>
      </c>
      <c r="B57" s="8" t="s">
        <v>820</v>
      </c>
      <c r="C57" s="8" t="s">
        <v>821</v>
      </c>
      <c r="D57" s="8" t="s">
        <v>1083</v>
      </c>
      <c r="E57" s="8" t="s">
        <v>1069</v>
      </c>
      <c r="F57" s="8" t="s">
        <v>557</v>
      </c>
      <c r="G57" s="8" t="s">
        <v>1042</v>
      </c>
      <c r="H57" s="8" t="s">
        <v>1088</v>
      </c>
      <c r="I57" s="8" t="s">
        <v>1044</v>
      </c>
      <c r="J57" s="8" t="s">
        <v>424</v>
      </c>
      <c r="K57" s="8" t="s">
        <v>826</v>
      </c>
      <c r="L57" s="8" t="s">
        <v>827</v>
      </c>
      <c r="M57" s="8" t="s">
        <v>1089</v>
      </c>
      <c r="N57" s="8" t="s">
        <v>132</v>
      </c>
    </row>
    <row r="58" customFormat="false" ht="23.85" hidden="false" customHeight="false" outlineLevel="0" collapsed="false">
      <c r="A58" s="8" t="s">
        <v>1087</v>
      </c>
      <c r="B58" s="8" t="s">
        <v>820</v>
      </c>
      <c r="C58" s="8" t="s">
        <v>821</v>
      </c>
      <c r="D58" s="8" t="s">
        <v>1085</v>
      </c>
      <c r="E58" s="8" t="s">
        <v>1051</v>
      </c>
      <c r="F58" s="8" t="s">
        <v>557</v>
      </c>
      <c r="G58" s="8" t="s">
        <v>1042</v>
      </c>
      <c r="H58" s="8" t="s">
        <v>1088</v>
      </c>
      <c r="I58" s="8" t="s">
        <v>1044</v>
      </c>
      <c r="J58" s="8" t="s">
        <v>424</v>
      </c>
      <c r="K58" s="8" t="s">
        <v>826</v>
      </c>
      <c r="L58" s="8" t="s">
        <v>827</v>
      </c>
      <c r="M58" s="8" t="s">
        <v>1089</v>
      </c>
      <c r="N58" s="8" t="s">
        <v>132</v>
      </c>
    </row>
    <row r="59" customFormat="false" ht="23.85" hidden="false" customHeight="false" outlineLevel="0" collapsed="false">
      <c r="A59" s="8" t="s">
        <v>1087</v>
      </c>
      <c r="B59" s="8" t="s">
        <v>820</v>
      </c>
      <c r="C59" s="8" t="s">
        <v>821</v>
      </c>
      <c r="D59" s="8" t="s">
        <v>1091</v>
      </c>
      <c r="E59" s="8" t="s">
        <v>1051</v>
      </c>
      <c r="F59" s="8" t="s">
        <v>557</v>
      </c>
      <c r="G59" s="8" t="s">
        <v>1042</v>
      </c>
      <c r="H59" s="8" t="s">
        <v>1088</v>
      </c>
      <c r="I59" s="8" t="s">
        <v>1044</v>
      </c>
      <c r="J59" s="8" t="s">
        <v>424</v>
      </c>
      <c r="K59" s="8" t="s">
        <v>826</v>
      </c>
      <c r="L59" s="8" t="s">
        <v>827</v>
      </c>
      <c r="M59" s="8" t="s">
        <v>1089</v>
      </c>
      <c r="N59" s="8" t="s">
        <v>132</v>
      </c>
    </row>
    <row r="60" customFormat="false" ht="23.85" hidden="false" customHeight="false" outlineLevel="0" collapsed="false">
      <c r="A60" s="8" t="s">
        <v>1087</v>
      </c>
      <c r="B60" s="8" t="s">
        <v>820</v>
      </c>
      <c r="C60" s="8" t="s">
        <v>821</v>
      </c>
      <c r="D60" s="8" t="s">
        <v>1092</v>
      </c>
      <c r="E60" s="8" t="s">
        <v>1051</v>
      </c>
      <c r="F60" s="8" t="s">
        <v>557</v>
      </c>
      <c r="G60" s="8" t="s">
        <v>1042</v>
      </c>
      <c r="H60" s="8" t="s">
        <v>1088</v>
      </c>
      <c r="I60" s="8" t="s">
        <v>1044</v>
      </c>
      <c r="J60" s="8" t="s">
        <v>424</v>
      </c>
      <c r="K60" s="8" t="s">
        <v>826</v>
      </c>
      <c r="L60" s="8" t="s">
        <v>827</v>
      </c>
      <c r="M60" s="8" t="s">
        <v>1089</v>
      </c>
      <c r="N60" s="8" t="s">
        <v>132</v>
      </c>
    </row>
    <row r="61" customFormat="false" ht="23.85" hidden="false" customHeight="false" outlineLevel="0" collapsed="false">
      <c r="A61" s="8" t="s">
        <v>1093</v>
      </c>
      <c r="B61" s="8" t="s">
        <v>927</v>
      </c>
      <c r="C61" s="8" t="s">
        <v>928</v>
      </c>
      <c r="D61" s="8" t="s">
        <v>555</v>
      </c>
      <c r="E61" s="8" t="s">
        <v>1041</v>
      </c>
      <c r="F61" s="8" t="s">
        <v>557</v>
      </c>
      <c r="G61" s="8" t="s">
        <v>1042</v>
      </c>
      <c r="H61" s="8" t="s">
        <v>1094</v>
      </c>
      <c r="I61" s="8" t="s">
        <v>1044</v>
      </c>
      <c r="J61" s="8" t="s">
        <v>424</v>
      </c>
      <c r="K61" s="8" t="s">
        <v>933</v>
      </c>
      <c r="L61" s="8" t="s">
        <v>934</v>
      </c>
      <c r="M61" s="8" t="s">
        <v>1095</v>
      </c>
      <c r="N61" s="8" t="s">
        <v>138</v>
      </c>
    </row>
    <row r="62" customFormat="false" ht="23.85" hidden="false" customHeight="false" outlineLevel="0" collapsed="false">
      <c r="A62" s="8" t="s">
        <v>1093</v>
      </c>
      <c r="B62" s="8" t="s">
        <v>927</v>
      </c>
      <c r="C62" s="8" t="s">
        <v>928</v>
      </c>
      <c r="D62" s="8" t="s">
        <v>643</v>
      </c>
      <c r="E62" s="8" t="s">
        <v>1046</v>
      </c>
      <c r="F62" s="8" t="s">
        <v>557</v>
      </c>
      <c r="G62" s="8" t="s">
        <v>1042</v>
      </c>
      <c r="H62" s="8" t="s">
        <v>1094</v>
      </c>
      <c r="I62" s="8" t="s">
        <v>1044</v>
      </c>
      <c r="J62" s="8" t="s">
        <v>424</v>
      </c>
      <c r="K62" s="8" t="s">
        <v>933</v>
      </c>
      <c r="L62" s="8" t="s">
        <v>934</v>
      </c>
      <c r="M62" s="8" t="s">
        <v>1095</v>
      </c>
      <c r="N62" s="8" t="s">
        <v>138</v>
      </c>
    </row>
    <row r="63" customFormat="false" ht="23.85" hidden="false" customHeight="false" outlineLevel="0" collapsed="false">
      <c r="A63" s="8" t="s">
        <v>1093</v>
      </c>
      <c r="B63" s="8" t="s">
        <v>927</v>
      </c>
      <c r="C63" s="8" t="s">
        <v>928</v>
      </c>
      <c r="D63" s="8" t="s">
        <v>1047</v>
      </c>
      <c r="E63" s="8" t="s">
        <v>1048</v>
      </c>
      <c r="F63" s="8" t="s">
        <v>557</v>
      </c>
      <c r="G63" s="8" t="s">
        <v>1042</v>
      </c>
      <c r="H63" s="8" t="s">
        <v>1094</v>
      </c>
      <c r="I63" s="8" t="s">
        <v>1044</v>
      </c>
      <c r="J63" s="8" t="s">
        <v>424</v>
      </c>
      <c r="K63" s="8" t="s">
        <v>933</v>
      </c>
      <c r="L63" s="8" t="s">
        <v>934</v>
      </c>
      <c r="M63" s="8" t="s">
        <v>1095</v>
      </c>
      <c r="N63" s="8" t="s">
        <v>138</v>
      </c>
    </row>
    <row r="64" customFormat="false" ht="23.85" hidden="false" customHeight="false" outlineLevel="0" collapsed="false">
      <c r="A64" s="8" t="s">
        <v>1093</v>
      </c>
      <c r="B64" s="8" t="s">
        <v>927</v>
      </c>
      <c r="C64" s="8" t="s">
        <v>928</v>
      </c>
      <c r="D64" s="8" t="s">
        <v>667</v>
      </c>
      <c r="E64" s="8" t="s">
        <v>1041</v>
      </c>
      <c r="F64" s="8" t="s">
        <v>557</v>
      </c>
      <c r="G64" s="8" t="s">
        <v>932</v>
      </c>
      <c r="H64" s="8" t="s">
        <v>1094</v>
      </c>
      <c r="I64" s="8" t="s">
        <v>1044</v>
      </c>
      <c r="J64" s="8" t="s">
        <v>424</v>
      </c>
      <c r="K64" s="8" t="s">
        <v>933</v>
      </c>
      <c r="L64" s="8" t="s">
        <v>934</v>
      </c>
      <c r="M64" s="8" t="s">
        <v>1095</v>
      </c>
      <c r="N64" s="8" t="s">
        <v>138</v>
      </c>
    </row>
    <row r="65" customFormat="false" ht="23.85" hidden="false" customHeight="false" outlineLevel="0" collapsed="false">
      <c r="A65" s="8" t="s">
        <v>1093</v>
      </c>
      <c r="B65" s="8" t="s">
        <v>927</v>
      </c>
      <c r="C65" s="8" t="s">
        <v>928</v>
      </c>
      <c r="D65" s="8" t="s">
        <v>1096</v>
      </c>
      <c r="E65" s="8" t="s">
        <v>1041</v>
      </c>
      <c r="F65" s="8" t="s">
        <v>557</v>
      </c>
      <c r="G65" s="8" t="s">
        <v>1042</v>
      </c>
      <c r="H65" s="8" t="s">
        <v>1094</v>
      </c>
      <c r="I65" s="8" t="s">
        <v>1044</v>
      </c>
      <c r="J65" s="8" t="s">
        <v>424</v>
      </c>
      <c r="K65" s="8" t="s">
        <v>933</v>
      </c>
      <c r="L65" s="8" t="s">
        <v>934</v>
      </c>
      <c r="M65" s="8" t="s">
        <v>1095</v>
      </c>
      <c r="N65" s="8" t="s">
        <v>138</v>
      </c>
    </row>
    <row r="66" customFormat="false" ht="23.85" hidden="false" customHeight="false" outlineLevel="0" collapsed="false">
      <c r="A66" s="8" t="s">
        <v>1093</v>
      </c>
      <c r="B66" s="8" t="s">
        <v>927</v>
      </c>
      <c r="C66" s="8" t="s">
        <v>928</v>
      </c>
      <c r="D66" s="8" t="s">
        <v>1097</v>
      </c>
      <c r="E66" s="8" t="s">
        <v>1041</v>
      </c>
      <c r="F66" s="8" t="s">
        <v>557</v>
      </c>
      <c r="G66" s="8" t="s">
        <v>1042</v>
      </c>
      <c r="H66" s="8" t="s">
        <v>1094</v>
      </c>
      <c r="I66" s="8" t="s">
        <v>1044</v>
      </c>
      <c r="J66" s="8" t="s">
        <v>424</v>
      </c>
      <c r="K66" s="8" t="s">
        <v>933</v>
      </c>
      <c r="L66" s="8" t="s">
        <v>934</v>
      </c>
      <c r="M66" s="8" t="s">
        <v>1095</v>
      </c>
      <c r="N66" s="8" t="s">
        <v>138</v>
      </c>
    </row>
    <row r="67" customFormat="false" ht="23.85" hidden="false" customHeight="false" outlineLevel="0" collapsed="false">
      <c r="A67" s="8" t="s">
        <v>1093</v>
      </c>
      <c r="B67" s="8" t="s">
        <v>927</v>
      </c>
      <c r="C67" s="8" t="s">
        <v>928</v>
      </c>
      <c r="D67" s="8" t="s">
        <v>1098</v>
      </c>
      <c r="E67" s="8" t="s">
        <v>1041</v>
      </c>
      <c r="F67" s="8" t="s">
        <v>557</v>
      </c>
      <c r="G67" s="8" t="s">
        <v>1042</v>
      </c>
      <c r="H67" s="8" t="s">
        <v>1094</v>
      </c>
      <c r="I67" s="8" t="s">
        <v>1044</v>
      </c>
      <c r="J67" s="8" t="s">
        <v>424</v>
      </c>
      <c r="K67" s="8" t="s">
        <v>933</v>
      </c>
      <c r="L67" s="8" t="s">
        <v>934</v>
      </c>
      <c r="M67" s="8" t="s">
        <v>1095</v>
      </c>
      <c r="N67" s="8" t="s">
        <v>138</v>
      </c>
    </row>
    <row r="68" customFormat="false" ht="23.85" hidden="false" customHeight="false" outlineLevel="0" collapsed="false">
      <c r="A68" s="8" t="s">
        <v>1099</v>
      </c>
      <c r="B68" s="8" t="s">
        <v>935</v>
      </c>
      <c r="C68" s="8" t="s">
        <v>937</v>
      </c>
      <c r="D68" s="8" t="s">
        <v>555</v>
      </c>
      <c r="E68" s="8" t="s">
        <v>1041</v>
      </c>
      <c r="F68" s="8" t="s">
        <v>557</v>
      </c>
      <c r="G68" s="8" t="s">
        <v>1042</v>
      </c>
      <c r="H68" s="8" t="s">
        <v>1100</v>
      </c>
      <c r="I68" s="8" t="s">
        <v>1044</v>
      </c>
      <c r="J68" s="8" t="s">
        <v>424</v>
      </c>
      <c r="K68" s="8" t="s">
        <v>942</v>
      </c>
      <c r="L68" s="8" t="s">
        <v>943</v>
      </c>
      <c r="M68" s="8" t="s">
        <v>1101</v>
      </c>
      <c r="N68" s="8" t="s">
        <v>138</v>
      </c>
    </row>
    <row r="69" customFormat="false" ht="23.85" hidden="false" customHeight="false" outlineLevel="0" collapsed="false">
      <c r="A69" s="8" t="s">
        <v>1099</v>
      </c>
      <c r="B69" s="8" t="s">
        <v>935</v>
      </c>
      <c r="C69" s="8" t="s">
        <v>937</v>
      </c>
      <c r="D69" s="8" t="s">
        <v>643</v>
      </c>
      <c r="E69" s="8" t="s">
        <v>1046</v>
      </c>
      <c r="F69" s="8" t="s">
        <v>557</v>
      </c>
      <c r="G69" s="8" t="s">
        <v>1042</v>
      </c>
      <c r="H69" s="8" t="s">
        <v>1100</v>
      </c>
      <c r="I69" s="8" t="s">
        <v>1044</v>
      </c>
      <c r="J69" s="8" t="s">
        <v>424</v>
      </c>
      <c r="K69" s="8" t="s">
        <v>942</v>
      </c>
      <c r="L69" s="8" t="s">
        <v>943</v>
      </c>
      <c r="M69" s="8" t="s">
        <v>1101</v>
      </c>
      <c r="N69" s="8" t="s">
        <v>138</v>
      </c>
    </row>
    <row r="70" customFormat="false" ht="23.85" hidden="false" customHeight="false" outlineLevel="0" collapsed="false">
      <c r="A70" s="8" t="s">
        <v>1099</v>
      </c>
      <c r="B70" s="8" t="s">
        <v>935</v>
      </c>
      <c r="C70" s="8" t="s">
        <v>937</v>
      </c>
      <c r="D70" s="8" t="s">
        <v>1047</v>
      </c>
      <c r="E70" s="8" t="s">
        <v>1048</v>
      </c>
      <c r="F70" s="8" t="s">
        <v>557</v>
      </c>
      <c r="G70" s="8" t="s">
        <v>1042</v>
      </c>
      <c r="H70" s="8" t="s">
        <v>1100</v>
      </c>
      <c r="I70" s="8" t="s">
        <v>1044</v>
      </c>
      <c r="J70" s="8" t="s">
        <v>424</v>
      </c>
      <c r="K70" s="8" t="s">
        <v>942</v>
      </c>
      <c r="L70" s="8" t="s">
        <v>943</v>
      </c>
      <c r="M70" s="8" t="s">
        <v>1101</v>
      </c>
      <c r="N70" s="8" t="s">
        <v>138</v>
      </c>
    </row>
    <row r="71" customFormat="false" ht="23.85" hidden="false" customHeight="false" outlineLevel="0" collapsed="false">
      <c r="A71" s="8" t="s">
        <v>1099</v>
      </c>
      <c r="B71" s="8" t="s">
        <v>935</v>
      </c>
      <c r="C71" s="8" t="s">
        <v>937</v>
      </c>
      <c r="D71" s="8" t="s">
        <v>651</v>
      </c>
      <c r="E71" s="8" t="s">
        <v>1041</v>
      </c>
      <c r="F71" s="8" t="s">
        <v>557</v>
      </c>
      <c r="G71" s="8" t="s">
        <v>941</v>
      </c>
      <c r="H71" s="8" t="s">
        <v>1100</v>
      </c>
      <c r="I71" s="8" t="s">
        <v>1044</v>
      </c>
      <c r="J71" s="8" t="s">
        <v>424</v>
      </c>
      <c r="K71" s="8" t="s">
        <v>942</v>
      </c>
      <c r="L71" s="8" t="s">
        <v>943</v>
      </c>
      <c r="M71" s="8" t="s">
        <v>1101</v>
      </c>
      <c r="N71" s="8" t="s">
        <v>138</v>
      </c>
    </row>
    <row r="72" customFormat="false" ht="23.85" hidden="false" customHeight="false" outlineLevel="0" collapsed="false">
      <c r="A72" s="8" t="s">
        <v>1099</v>
      </c>
      <c r="B72" s="8" t="s">
        <v>935</v>
      </c>
      <c r="C72" s="8" t="s">
        <v>937</v>
      </c>
      <c r="D72" s="8" t="s">
        <v>1102</v>
      </c>
      <c r="E72" s="8" t="s">
        <v>1051</v>
      </c>
      <c r="F72" s="8" t="s">
        <v>557</v>
      </c>
      <c r="G72" s="8" t="s">
        <v>1042</v>
      </c>
      <c r="H72" s="8" t="s">
        <v>1100</v>
      </c>
      <c r="I72" s="8" t="s">
        <v>1044</v>
      </c>
      <c r="J72" s="8" t="s">
        <v>424</v>
      </c>
      <c r="K72" s="8" t="s">
        <v>942</v>
      </c>
      <c r="L72" s="8" t="s">
        <v>943</v>
      </c>
      <c r="M72" s="8" t="s">
        <v>1101</v>
      </c>
      <c r="N72" s="8" t="s">
        <v>138</v>
      </c>
    </row>
    <row r="73" customFormat="false" ht="23.85" hidden="false" customHeight="false" outlineLevel="0" collapsed="false">
      <c r="A73" s="8" t="s">
        <v>1099</v>
      </c>
      <c r="B73" s="8" t="s">
        <v>935</v>
      </c>
      <c r="C73" s="8" t="s">
        <v>937</v>
      </c>
      <c r="D73" s="8" t="s">
        <v>1083</v>
      </c>
      <c r="E73" s="8" t="s">
        <v>1069</v>
      </c>
      <c r="F73" s="8" t="s">
        <v>557</v>
      </c>
      <c r="G73" s="8" t="s">
        <v>1042</v>
      </c>
      <c r="H73" s="8" t="s">
        <v>1100</v>
      </c>
      <c r="I73" s="8" t="s">
        <v>1044</v>
      </c>
      <c r="J73" s="8" t="s">
        <v>424</v>
      </c>
      <c r="K73" s="8" t="s">
        <v>942</v>
      </c>
      <c r="L73" s="8" t="s">
        <v>943</v>
      </c>
      <c r="M73" s="8" t="s">
        <v>1101</v>
      </c>
      <c r="N73" s="8" t="s">
        <v>138</v>
      </c>
    </row>
    <row r="74" customFormat="false" ht="23.85" hidden="false" customHeight="false" outlineLevel="0" collapsed="false">
      <c r="A74" s="8" t="s">
        <v>1099</v>
      </c>
      <c r="B74" s="8" t="s">
        <v>935</v>
      </c>
      <c r="C74" s="8" t="s">
        <v>937</v>
      </c>
      <c r="D74" s="8" t="s">
        <v>1085</v>
      </c>
      <c r="E74" s="8" t="s">
        <v>1051</v>
      </c>
      <c r="F74" s="8" t="s">
        <v>557</v>
      </c>
      <c r="G74" s="8" t="s">
        <v>1042</v>
      </c>
      <c r="H74" s="8" t="s">
        <v>1100</v>
      </c>
      <c r="I74" s="8" t="s">
        <v>1044</v>
      </c>
      <c r="J74" s="8" t="s">
        <v>424</v>
      </c>
      <c r="K74" s="8" t="s">
        <v>942</v>
      </c>
      <c r="L74" s="8" t="s">
        <v>943</v>
      </c>
      <c r="M74" s="8" t="s">
        <v>1101</v>
      </c>
      <c r="N74" s="8" t="s">
        <v>138</v>
      </c>
    </row>
    <row r="75" customFormat="false" ht="23.85" hidden="false" customHeight="false" outlineLevel="0" collapsed="false">
      <c r="A75" s="8" t="s">
        <v>1099</v>
      </c>
      <c r="B75" s="8" t="s">
        <v>935</v>
      </c>
      <c r="C75" s="8" t="s">
        <v>937</v>
      </c>
      <c r="D75" s="8" t="s">
        <v>1065</v>
      </c>
      <c r="E75" s="8" t="s">
        <v>1051</v>
      </c>
      <c r="F75" s="8" t="s">
        <v>557</v>
      </c>
      <c r="G75" s="8" t="s">
        <v>1042</v>
      </c>
      <c r="H75" s="8" t="s">
        <v>1100</v>
      </c>
      <c r="I75" s="8" t="s">
        <v>1044</v>
      </c>
      <c r="J75" s="8" t="s">
        <v>424</v>
      </c>
      <c r="K75" s="8" t="s">
        <v>942</v>
      </c>
      <c r="L75" s="8" t="s">
        <v>943</v>
      </c>
      <c r="M75" s="8" t="s">
        <v>1101</v>
      </c>
      <c r="N75" s="8" t="s">
        <v>138</v>
      </c>
    </row>
    <row r="76" customFormat="false" ht="23.85" hidden="false" customHeight="false" outlineLevel="0" collapsed="false">
      <c r="A76" s="8" t="s">
        <v>1099</v>
      </c>
      <c r="B76" s="8" t="s">
        <v>935</v>
      </c>
      <c r="C76" s="8" t="s">
        <v>937</v>
      </c>
      <c r="D76" s="8" t="s">
        <v>1103</v>
      </c>
      <c r="E76" s="8" t="s">
        <v>1041</v>
      </c>
      <c r="F76" s="8" t="s">
        <v>557</v>
      </c>
      <c r="G76" s="8" t="s">
        <v>1042</v>
      </c>
      <c r="H76" s="8" t="s">
        <v>1100</v>
      </c>
      <c r="I76" s="8" t="s">
        <v>1044</v>
      </c>
      <c r="J76" s="8" t="s">
        <v>424</v>
      </c>
      <c r="K76" s="8" t="s">
        <v>942</v>
      </c>
      <c r="L76" s="8" t="s">
        <v>943</v>
      </c>
      <c r="M76" s="8" t="s">
        <v>1101</v>
      </c>
      <c r="N76" s="8" t="s">
        <v>138</v>
      </c>
    </row>
    <row r="77" customFormat="false" ht="35.05" hidden="false" customHeight="false" outlineLevel="0" collapsed="false">
      <c r="A77" s="8" t="s">
        <v>1104</v>
      </c>
      <c r="B77" s="8" t="s">
        <v>944</v>
      </c>
      <c r="C77" s="8" t="s">
        <v>945</v>
      </c>
      <c r="D77" s="8" t="s">
        <v>555</v>
      </c>
      <c r="E77" s="8" t="s">
        <v>1041</v>
      </c>
      <c r="F77" s="8" t="s">
        <v>557</v>
      </c>
      <c r="G77" s="8" t="s">
        <v>1042</v>
      </c>
      <c r="H77" s="8" t="s">
        <v>1105</v>
      </c>
      <c r="I77" s="8" t="s">
        <v>1044</v>
      </c>
      <c r="J77" s="8" t="s">
        <v>424</v>
      </c>
      <c r="K77" s="8" t="s">
        <v>949</v>
      </c>
      <c r="L77" s="8" t="s">
        <v>950</v>
      </c>
      <c r="M77" s="8" t="s">
        <v>1106</v>
      </c>
      <c r="N77" s="8" t="s">
        <v>138</v>
      </c>
    </row>
    <row r="78" customFormat="false" ht="35.05" hidden="false" customHeight="false" outlineLevel="0" collapsed="false">
      <c r="A78" s="8" t="s">
        <v>1104</v>
      </c>
      <c r="B78" s="8" t="s">
        <v>944</v>
      </c>
      <c r="C78" s="8" t="s">
        <v>945</v>
      </c>
      <c r="D78" s="8" t="s">
        <v>643</v>
      </c>
      <c r="E78" s="8" t="s">
        <v>1046</v>
      </c>
      <c r="F78" s="8" t="s">
        <v>557</v>
      </c>
      <c r="G78" s="8" t="s">
        <v>1042</v>
      </c>
      <c r="H78" s="8" t="s">
        <v>1105</v>
      </c>
      <c r="I78" s="8" t="s">
        <v>1044</v>
      </c>
      <c r="J78" s="8" t="s">
        <v>424</v>
      </c>
      <c r="K78" s="8" t="s">
        <v>949</v>
      </c>
      <c r="L78" s="8" t="s">
        <v>950</v>
      </c>
      <c r="M78" s="8" t="s">
        <v>1106</v>
      </c>
      <c r="N78" s="8" t="s">
        <v>138</v>
      </c>
    </row>
    <row r="79" customFormat="false" ht="35.05" hidden="false" customHeight="false" outlineLevel="0" collapsed="false">
      <c r="A79" s="8" t="s">
        <v>1104</v>
      </c>
      <c r="B79" s="8" t="s">
        <v>944</v>
      </c>
      <c r="C79" s="8" t="s">
        <v>945</v>
      </c>
      <c r="D79" s="8" t="s">
        <v>1047</v>
      </c>
      <c r="E79" s="8" t="s">
        <v>1048</v>
      </c>
      <c r="F79" s="8" t="s">
        <v>557</v>
      </c>
      <c r="G79" s="8" t="s">
        <v>1042</v>
      </c>
      <c r="H79" s="8" t="s">
        <v>1105</v>
      </c>
      <c r="I79" s="8" t="s">
        <v>1044</v>
      </c>
      <c r="J79" s="8" t="s">
        <v>424</v>
      </c>
      <c r="K79" s="8" t="s">
        <v>949</v>
      </c>
      <c r="L79" s="8" t="s">
        <v>950</v>
      </c>
      <c r="M79" s="8" t="s">
        <v>1106</v>
      </c>
      <c r="N79" s="8" t="s">
        <v>138</v>
      </c>
    </row>
    <row r="80" customFormat="false" ht="35.05" hidden="false" customHeight="false" outlineLevel="0" collapsed="false">
      <c r="A80" s="8" t="s">
        <v>1104</v>
      </c>
      <c r="B80" s="8" t="s">
        <v>944</v>
      </c>
      <c r="C80" s="8" t="s">
        <v>945</v>
      </c>
      <c r="D80" s="8" t="s">
        <v>651</v>
      </c>
      <c r="E80" s="8" t="s">
        <v>1041</v>
      </c>
      <c r="F80" s="8" t="s">
        <v>557</v>
      </c>
      <c r="G80" s="8" t="s">
        <v>948</v>
      </c>
      <c r="H80" s="8" t="s">
        <v>1105</v>
      </c>
      <c r="I80" s="8" t="s">
        <v>1044</v>
      </c>
      <c r="J80" s="8" t="s">
        <v>424</v>
      </c>
      <c r="K80" s="8" t="s">
        <v>949</v>
      </c>
      <c r="L80" s="8" t="s">
        <v>950</v>
      </c>
      <c r="M80" s="8" t="s">
        <v>1106</v>
      </c>
      <c r="N80" s="8" t="s">
        <v>138</v>
      </c>
    </row>
    <row r="81" customFormat="false" ht="35.05" hidden="false" customHeight="false" outlineLevel="0" collapsed="false">
      <c r="A81" s="8" t="s">
        <v>1104</v>
      </c>
      <c r="B81" s="8" t="s">
        <v>944</v>
      </c>
      <c r="C81" s="8" t="s">
        <v>945</v>
      </c>
      <c r="D81" s="8" t="s">
        <v>1102</v>
      </c>
      <c r="E81" s="8" t="s">
        <v>1051</v>
      </c>
      <c r="F81" s="8" t="s">
        <v>557</v>
      </c>
      <c r="G81" s="8" t="s">
        <v>1042</v>
      </c>
      <c r="H81" s="8" t="s">
        <v>1105</v>
      </c>
      <c r="I81" s="8" t="s">
        <v>1044</v>
      </c>
      <c r="J81" s="8" t="s">
        <v>424</v>
      </c>
      <c r="K81" s="8" t="s">
        <v>949</v>
      </c>
      <c r="L81" s="8" t="s">
        <v>950</v>
      </c>
      <c r="M81" s="8" t="s">
        <v>1106</v>
      </c>
      <c r="N81" s="8" t="s">
        <v>138</v>
      </c>
    </row>
    <row r="82" customFormat="false" ht="35.05" hidden="false" customHeight="false" outlineLevel="0" collapsed="false">
      <c r="A82" s="8" t="s">
        <v>1104</v>
      </c>
      <c r="B82" s="8" t="s">
        <v>944</v>
      </c>
      <c r="C82" s="8" t="s">
        <v>945</v>
      </c>
      <c r="D82" s="8" t="s">
        <v>1083</v>
      </c>
      <c r="E82" s="8" t="s">
        <v>1069</v>
      </c>
      <c r="F82" s="8" t="s">
        <v>557</v>
      </c>
      <c r="G82" s="8" t="s">
        <v>1042</v>
      </c>
      <c r="H82" s="8" t="s">
        <v>1105</v>
      </c>
      <c r="I82" s="8" t="s">
        <v>1044</v>
      </c>
      <c r="J82" s="8" t="s">
        <v>424</v>
      </c>
      <c r="K82" s="8" t="s">
        <v>949</v>
      </c>
      <c r="L82" s="8" t="s">
        <v>950</v>
      </c>
      <c r="M82" s="8" t="s">
        <v>1106</v>
      </c>
      <c r="N82" s="8" t="s">
        <v>138</v>
      </c>
    </row>
    <row r="83" customFormat="false" ht="35.05" hidden="false" customHeight="false" outlineLevel="0" collapsed="false">
      <c r="A83" s="8" t="s">
        <v>1104</v>
      </c>
      <c r="B83" s="8" t="s">
        <v>944</v>
      </c>
      <c r="C83" s="8" t="s">
        <v>945</v>
      </c>
      <c r="D83" s="8" t="s">
        <v>1085</v>
      </c>
      <c r="E83" s="8" t="s">
        <v>1051</v>
      </c>
      <c r="F83" s="8" t="s">
        <v>557</v>
      </c>
      <c r="G83" s="8" t="s">
        <v>1042</v>
      </c>
      <c r="H83" s="8" t="s">
        <v>1105</v>
      </c>
      <c r="I83" s="8" t="s">
        <v>1044</v>
      </c>
      <c r="J83" s="8" t="s">
        <v>424</v>
      </c>
      <c r="K83" s="8" t="s">
        <v>949</v>
      </c>
      <c r="L83" s="8" t="s">
        <v>950</v>
      </c>
      <c r="M83" s="8" t="s">
        <v>1106</v>
      </c>
      <c r="N83" s="8" t="s">
        <v>138</v>
      </c>
    </row>
    <row r="84" customFormat="false" ht="35.05" hidden="false" customHeight="false" outlineLevel="0" collapsed="false">
      <c r="A84" s="8" t="s">
        <v>1104</v>
      </c>
      <c r="B84" s="8" t="s">
        <v>944</v>
      </c>
      <c r="C84" s="8" t="s">
        <v>945</v>
      </c>
      <c r="D84" s="8" t="s">
        <v>1107</v>
      </c>
      <c r="E84" s="8" t="s">
        <v>1069</v>
      </c>
      <c r="F84" s="8" t="s">
        <v>557</v>
      </c>
      <c r="G84" s="8" t="s">
        <v>1042</v>
      </c>
      <c r="H84" s="8" t="s">
        <v>1105</v>
      </c>
      <c r="I84" s="8" t="s">
        <v>1044</v>
      </c>
      <c r="J84" s="8" t="s">
        <v>424</v>
      </c>
      <c r="K84" s="8" t="s">
        <v>949</v>
      </c>
      <c r="L84" s="8" t="s">
        <v>950</v>
      </c>
      <c r="M84" s="8" t="s">
        <v>1106</v>
      </c>
      <c r="N84" s="8" t="s">
        <v>138</v>
      </c>
    </row>
    <row r="85" customFormat="false" ht="23.85" hidden="false" customHeight="false" outlineLevel="0" collapsed="false">
      <c r="A85" s="8" t="s">
        <v>1108</v>
      </c>
      <c r="B85" s="8" t="s">
        <v>951</v>
      </c>
      <c r="C85" s="8" t="s">
        <v>952</v>
      </c>
      <c r="D85" s="8" t="s">
        <v>555</v>
      </c>
      <c r="E85" s="8" t="s">
        <v>1041</v>
      </c>
      <c r="F85" s="8" t="s">
        <v>557</v>
      </c>
      <c r="G85" s="8" t="s">
        <v>1042</v>
      </c>
      <c r="H85" s="8" t="s">
        <v>1100</v>
      </c>
      <c r="I85" s="8" t="s">
        <v>1044</v>
      </c>
      <c r="J85" s="8" t="s">
        <v>424</v>
      </c>
      <c r="K85" s="8" t="s">
        <v>956</v>
      </c>
      <c r="L85" s="8" t="s">
        <v>957</v>
      </c>
      <c r="M85" s="8" t="s">
        <v>1109</v>
      </c>
      <c r="N85" s="8" t="s">
        <v>138</v>
      </c>
    </row>
    <row r="86" customFormat="false" ht="23.85" hidden="false" customHeight="false" outlineLevel="0" collapsed="false">
      <c r="A86" s="8" t="s">
        <v>1108</v>
      </c>
      <c r="B86" s="8" t="s">
        <v>951</v>
      </c>
      <c r="C86" s="8" t="s">
        <v>952</v>
      </c>
      <c r="D86" s="8" t="s">
        <v>643</v>
      </c>
      <c r="E86" s="8" t="s">
        <v>1046</v>
      </c>
      <c r="F86" s="8" t="s">
        <v>557</v>
      </c>
      <c r="G86" s="8" t="s">
        <v>1042</v>
      </c>
      <c r="H86" s="8" t="s">
        <v>1100</v>
      </c>
      <c r="I86" s="8" t="s">
        <v>1044</v>
      </c>
      <c r="J86" s="8" t="s">
        <v>424</v>
      </c>
      <c r="K86" s="8" t="s">
        <v>956</v>
      </c>
      <c r="L86" s="8" t="s">
        <v>957</v>
      </c>
      <c r="M86" s="8" t="s">
        <v>1109</v>
      </c>
      <c r="N86" s="8" t="s">
        <v>138</v>
      </c>
    </row>
    <row r="87" customFormat="false" ht="23.85" hidden="false" customHeight="false" outlineLevel="0" collapsed="false">
      <c r="A87" s="8" t="s">
        <v>1108</v>
      </c>
      <c r="B87" s="8" t="s">
        <v>951</v>
      </c>
      <c r="C87" s="8" t="s">
        <v>952</v>
      </c>
      <c r="D87" s="8" t="s">
        <v>1047</v>
      </c>
      <c r="E87" s="8" t="s">
        <v>1048</v>
      </c>
      <c r="F87" s="8" t="s">
        <v>557</v>
      </c>
      <c r="G87" s="8" t="s">
        <v>1042</v>
      </c>
      <c r="H87" s="8" t="s">
        <v>1100</v>
      </c>
      <c r="I87" s="8" t="s">
        <v>1044</v>
      </c>
      <c r="J87" s="8" t="s">
        <v>424</v>
      </c>
      <c r="K87" s="8" t="s">
        <v>956</v>
      </c>
      <c r="L87" s="8" t="s">
        <v>957</v>
      </c>
      <c r="M87" s="8" t="s">
        <v>1109</v>
      </c>
      <c r="N87" s="8" t="s">
        <v>138</v>
      </c>
    </row>
    <row r="88" customFormat="false" ht="23.85" hidden="false" customHeight="false" outlineLevel="0" collapsed="false">
      <c r="A88" s="8" t="s">
        <v>1108</v>
      </c>
      <c r="B88" s="8" t="s">
        <v>951</v>
      </c>
      <c r="C88" s="8" t="s">
        <v>952</v>
      </c>
      <c r="D88" s="8" t="s">
        <v>651</v>
      </c>
      <c r="E88" s="8" t="s">
        <v>1041</v>
      </c>
      <c r="F88" s="8" t="s">
        <v>557</v>
      </c>
      <c r="G88" s="8" t="s">
        <v>955</v>
      </c>
      <c r="H88" s="8" t="s">
        <v>1100</v>
      </c>
      <c r="I88" s="8" t="s">
        <v>1044</v>
      </c>
      <c r="J88" s="8" t="s">
        <v>424</v>
      </c>
      <c r="K88" s="8" t="s">
        <v>956</v>
      </c>
      <c r="L88" s="8" t="s">
        <v>957</v>
      </c>
      <c r="M88" s="8" t="s">
        <v>1109</v>
      </c>
      <c r="N88" s="8" t="s">
        <v>138</v>
      </c>
    </row>
    <row r="89" customFormat="false" ht="23.85" hidden="false" customHeight="false" outlineLevel="0" collapsed="false">
      <c r="A89" s="8" t="s">
        <v>1108</v>
      </c>
      <c r="B89" s="8" t="s">
        <v>951</v>
      </c>
      <c r="C89" s="8" t="s">
        <v>952</v>
      </c>
      <c r="D89" s="8" t="s">
        <v>1110</v>
      </c>
      <c r="E89" s="8" t="s">
        <v>1041</v>
      </c>
      <c r="F89" s="8" t="s">
        <v>557</v>
      </c>
      <c r="G89" s="8" t="s">
        <v>1042</v>
      </c>
      <c r="H89" s="8" t="s">
        <v>1100</v>
      </c>
      <c r="I89" s="8" t="s">
        <v>1044</v>
      </c>
      <c r="J89" s="8" t="s">
        <v>424</v>
      </c>
      <c r="K89" s="8" t="s">
        <v>956</v>
      </c>
      <c r="L89" s="8" t="s">
        <v>957</v>
      </c>
      <c r="M89" s="8" t="s">
        <v>1109</v>
      </c>
      <c r="N89" s="8" t="s">
        <v>138</v>
      </c>
    </row>
    <row r="90" customFormat="false" ht="23.85" hidden="false" customHeight="false" outlineLevel="0" collapsed="false">
      <c r="A90" s="8" t="s">
        <v>1108</v>
      </c>
      <c r="B90" s="8" t="s">
        <v>951</v>
      </c>
      <c r="C90" s="8" t="s">
        <v>952</v>
      </c>
      <c r="D90" s="8" t="s">
        <v>1083</v>
      </c>
      <c r="E90" s="8" t="s">
        <v>1069</v>
      </c>
      <c r="F90" s="8" t="s">
        <v>557</v>
      </c>
      <c r="G90" s="8" t="s">
        <v>1042</v>
      </c>
      <c r="H90" s="8" t="s">
        <v>1100</v>
      </c>
      <c r="I90" s="8" t="s">
        <v>1044</v>
      </c>
      <c r="J90" s="8" t="s">
        <v>424</v>
      </c>
      <c r="K90" s="8" t="s">
        <v>956</v>
      </c>
      <c r="L90" s="8" t="s">
        <v>957</v>
      </c>
      <c r="M90" s="8" t="s">
        <v>1109</v>
      </c>
      <c r="N90" s="8" t="s">
        <v>138</v>
      </c>
    </row>
    <row r="91" customFormat="false" ht="23.85" hidden="false" customHeight="false" outlineLevel="0" collapsed="false">
      <c r="A91" s="8" t="s">
        <v>1108</v>
      </c>
      <c r="B91" s="8" t="s">
        <v>951</v>
      </c>
      <c r="C91" s="8" t="s">
        <v>952</v>
      </c>
      <c r="D91" s="8" t="s">
        <v>1085</v>
      </c>
      <c r="E91" s="8" t="s">
        <v>1051</v>
      </c>
      <c r="F91" s="8" t="s">
        <v>557</v>
      </c>
      <c r="G91" s="8" t="s">
        <v>1042</v>
      </c>
      <c r="H91" s="8" t="s">
        <v>1100</v>
      </c>
      <c r="I91" s="8" t="s">
        <v>1044</v>
      </c>
      <c r="J91" s="8" t="s">
        <v>424</v>
      </c>
      <c r="K91" s="8" t="s">
        <v>956</v>
      </c>
      <c r="L91" s="8" t="s">
        <v>957</v>
      </c>
      <c r="M91" s="8" t="s">
        <v>1109</v>
      </c>
      <c r="N91" s="8" t="s">
        <v>138</v>
      </c>
    </row>
    <row r="92" customFormat="false" ht="23.85" hidden="false" customHeight="false" outlineLevel="0" collapsed="false">
      <c r="A92" s="8" t="s">
        <v>1108</v>
      </c>
      <c r="B92" s="8" t="s">
        <v>951</v>
      </c>
      <c r="C92" s="8" t="s">
        <v>952</v>
      </c>
      <c r="D92" s="8" t="s">
        <v>1091</v>
      </c>
      <c r="E92" s="8" t="s">
        <v>1051</v>
      </c>
      <c r="F92" s="8" t="s">
        <v>557</v>
      </c>
      <c r="G92" s="8" t="s">
        <v>1042</v>
      </c>
      <c r="H92" s="8" t="s">
        <v>1100</v>
      </c>
      <c r="I92" s="8" t="s">
        <v>1044</v>
      </c>
      <c r="J92" s="8" t="s">
        <v>424</v>
      </c>
      <c r="K92" s="8" t="s">
        <v>956</v>
      </c>
      <c r="L92" s="8" t="s">
        <v>957</v>
      </c>
      <c r="M92" s="8" t="s">
        <v>1109</v>
      </c>
      <c r="N92" s="8" t="s">
        <v>138</v>
      </c>
    </row>
    <row r="93" customFormat="false" ht="23.85" hidden="false" customHeight="false" outlineLevel="0" collapsed="false">
      <c r="A93" s="8" t="s">
        <v>1111</v>
      </c>
      <c r="B93" s="8" t="s">
        <v>480</v>
      </c>
      <c r="C93" s="8" t="s">
        <v>968</v>
      </c>
      <c r="D93" s="8" t="s">
        <v>555</v>
      </c>
      <c r="E93" s="8" t="s">
        <v>1041</v>
      </c>
      <c r="F93" s="8" t="s">
        <v>557</v>
      </c>
      <c r="G93" s="8" t="s">
        <v>1042</v>
      </c>
      <c r="H93" s="8" t="s">
        <v>1112</v>
      </c>
      <c r="I93" s="8" t="s">
        <v>1044</v>
      </c>
      <c r="J93" s="8" t="s">
        <v>424</v>
      </c>
      <c r="K93" s="8" t="s">
        <v>971</v>
      </c>
      <c r="L93" s="8" t="s">
        <v>972</v>
      </c>
      <c r="M93" s="8" t="s">
        <v>1113</v>
      </c>
      <c r="N93" s="8" t="s">
        <v>138</v>
      </c>
    </row>
    <row r="94" customFormat="false" ht="23.85" hidden="false" customHeight="false" outlineLevel="0" collapsed="false">
      <c r="A94" s="8" t="s">
        <v>1111</v>
      </c>
      <c r="B94" s="8" t="s">
        <v>480</v>
      </c>
      <c r="C94" s="8" t="s">
        <v>968</v>
      </c>
      <c r="D94" s="8" t="s">
        <v>643</v>
      </c>
      <c r="E94" s="8" t="s">
        <v>1046</v>
      </c>
      <c r="F94" s="8" t="s">
        <v>557</v>
      </c>
      <c r="G94" s="8" t="s">
        <v>1042</v>
      </c>
      <c r="H94" s="8" t="s">
        <v>1112</v>
      </c>
      <c r="I94" s="8" t="s">
        <v>1044</v>
      </c>
      <c r="J94" s="8" t="s">
        <v>424</v>
      </c>
      <c r="K94" s="8" t="s">
        <v>971</v>
      </c>
      <c r="L94" s="8" t="s">
        <v>972</v>
      </c>
      <c r="M94" s="8" t="s">
        <v>1113</v>
      </c>
      <c r="N94" s="8" t="s">
        <v>138</v>
      </c>
    </row>
    <row r="95" customFormat="false" ht="23.85" hidden="false" customHeight="false" outlineLevel="0" collapsed="false">
      <c r="A95" s="8" t="s">
        <v>1111</v>
      </c>
      <c r="B95" s="8" t="s">
        <v>480</v>
      </c>
      <c r="C95" s="8" t="s">
        <v>968</v>
      </c>
      <c r="D95" s="8" t="s">
        <v>1047</v>
      </c>
      <c r="E95" s="8" t="s">
        <v>1048</v>
      </c>
      <c r="F95" s="8" t="s">
        <v>557</v>
      </c>
      <c r="G95" s="8" t="s">
        <v>1042</v>
      </c>
      <c r="H95" s="8" t="s">
        <v>1112</v>
      </c>
      <c r="I95" s="8" t="s">
        <v>1044</v>
      </c>
      <c r="J95" s="8" t="s">
        <v>424</v>
      </c>
      <c r="K95" s="8" t="s">
        <v>971</v>
      </c>
      <c r="L95" s="8" t="s">
        <v>972</v>
      </c>
      <c r="M95" s="8" t="s">
        <v>1113</v>
      </c>
      <c r="N95" s="8" t="s">
        <v>138</v>
      </c>
    </row>
    <row r="96" customFormat="false" ht="23.85" hidden="false" customHeight="false" outlineLevel="0" collapsed="false">
      <c r="A96" s="8" t="s">
        <v>1111</v>
      </c>
      <c r="B96" s="8" t="s">
        <v>480</v>
      </c>
      <c r="C96" s="8" t="s">
        <v>968</v>
      </c>
      <c r="D96" s="8" t="s">
        <v>663</v>
      </c>
      <c r="E96" s="8" t="s">
        <v>1041</v>
      </c>
      <c r="F96" s="8" t="s">
        <v>557</v>
      </c>
      <c r="G96" s="8" t="s">
        <v>970</v>
      </c>
      <c r="H96" s="8" t="s">
        <v>1112</v>
      </c>
      <c r="I96" s="8" t="s">
        <v>1044</v>
      </c>
      <c r="J96" s="8" t="s">
        <v>424</v>
      </c>
      <c r="K96" s="8" t="s">
        <v>971</v>
      </c>
      <c r="L96" s="8" t="s">
        <v>972</v>
      </c>
      <c r="M96" s="8" t="s">
        <v>1113</v>
      </c>
      <c r="N96" s="8" t="s">
        <v>138</v>
      </c>
    </row>
    <row r="97" customFormat="false" ht="23.85" hidden="false" customHeight="false" outlineLevel="0" collapsed="false">
      <c r="A97" s="8" t="s">
        <v>1111</v>
      </c>
      <c r="B97" s="8" t="s">
        <v>480</v>
      </c>
      <c r="C97" s="8" t="s">
        <v>968</v>
      </c>
      <c r="D97" s="8" t="s">
        <v>1083</v>
      </c>
      <c r="E97" s="8" t="s">
        <v>1069</v>
      </c>
      <c r="F97" s="8" t="s">
        <v>557</v>
      </c>
      <c r="G97" s="8" t="s">
        <v>1042</v>
      </c>
      <c r="H97" s="8" t="s">
        <v>1112</v>
      </c>
      <c r="I97" s="8" t="s">
        <v>1044</v>
      </c>
      <c r="J97" s="8" t="s">
        <v>424</v>
      </c>
      <c r="K97" s="8" t="s">
        <v>971</v>
      </c>
      <c r="L97" s="8" t="s">
        <v>972</v>
      </c>
      <c r="M97" s="8" t="s">
        <v>1113</v>
      </c>
      <c r="N97" s="8" t="s">
        <v>138</v>
      </c>
    </row>
    <row r="98" customFormat="false" ht="23.85" hidden="false" customHeight="false" outlineLevel="0" collapsed="false">
      <c r="A98" s="8" t="s">
        <v>1111</v>
      </c>
      <c r="B98" s="8" t="s">
        <v>480</v>
      </c>
      <c r="C98" s="8" t="s">
        <v>968</v>
      </c>
      <c r="D98" s="8" t="s">
        <v>1085</v>
      </c>
      <c r="E98" s="8" t="s">
        <v>1051</v>
      </c>
      <c r="F98" s="8" t="s">
        <v>557</v>
      </c>
      <c r="G98" s="8" t="s">
        <v>1042</v>
      </c>
      <c r="H98" s="8" t="s">
        <v>1112</v>
      </c>
      <c r="I98" s="8" t="s">
        <v>1044</v>
      </c>
      <c r="J98" s="8" t="s">
        <v>424</v>
      </c>
      <c r="K98" s="8" t="s">
        <v>971</v>
      </c>
      <c r="L98" s="8" t="s">
        <v>972</v>
      </c>
      <c r="M98" s="8" t="s">
        <v>1113</v>
      </c>
      <c r="N98" s="8" t="s">
        <v>138</v>
      </c>
    </row>
    <row r="99" customFormat="false" ht="23.85" hidden="false" customHeight="false" outlineLevel="0" collapsed="false">
      <c r="A99" s="8" t="s">
        <v>1111</v>
      </c>
      <c r="B99" s="8" t="s">
        <v>480</v>
      </c>
      <c r="C99" s="8" t="s">
        <v>968</v>
      </c>
      <c r="D99" s="8" t="s">
        <v>1114</v>
      </c>
      <c r="E99" s="8" t="s">
        <v>1115</v>
      </c>
      <c r="F99" s="8" t="s">
        <v>557</v>
      </c>
      <c r="G99" s="8" t="s">
        <v>1042</v>
      </c>
      <c r="H99" s="8" t="s">
        <v>1112</v>
      </c>
      <c r="I99" s="8" t="s">
        <v>1044</v>
      </c>
      <c r="J99" s="8" t="s">
        <v>424</v>
      </c>
      <c r="K99" s="8" t="s">
        <v>971</v>
      </c>
      <c r="L99" s="8" t="s">
        <v>972</v>
      </c>
      <c r="M99" s="8" t="s">
        <v>1113</v>
      </c>
      <c r="N99" s="8" t="s">
        <v>138</v>
      </c>
    </row>
    <row r="100" customFormat="false" ht="23.85" hidden="false" customHeight="false" outlineLevel="0" collapsed="false">
      <c r="A100" s="8" t="s">
        <v>1116</v>
      </c>
      <c r="B100" s="8" t="s">
        <v>980</v>
      </c>
      <c r="C100" s="8" t="s">
        <v>981</v>
      </c>
      <c r="D100" s="8" t="s">
        <v>555</v>
      </c>
      <c r="E100" s="8" t="s">
        <v>1041</v>
      </c>
      <c r="F100" s="8" t="s">
        <v>557</v>
      </c>
      <c r="G100" s="8" t="s">
        <v>1042</v>
      </c>
      <c r="H100" s="8" t="s">
        <v>1117</v>
      </c>
      <c r="I100" s="8" t="s">
        <v>1044</v>
      </c>
      <c r="J100" s="8" t="s">
        <v>424</v>
      </c>
      <c r="K100" s="8" t="s">
        <v>986</v>
      </c>
      <c r="L100" s="8" t="s">
        <v>987</v>
      </c>
      <c r="M100" s="8" t="s">
        <v>1118</v>
      </c>
      <c r="N100" s="8" t="s">
        <v>138</v>
      </c>
    </row>
    <row r="101" customFormat="false" ht="23.85" hidden="false" customHeight="false" outlineLevel="0" collapsed="false">
      <c r="A101" s="8" t="s">
        <v>1116</v>
      </c>
      <c r="B101" s="8" t="s">
        <v>980</v>
      </c>
      <c r="C101" s="8" t="s">
        <v>981</v>
      </c>
      <c r="D101" s="8" t="s">
        <v>643</v>
      </c>
      <c r="E101" s="8" t="s">
        <v>1046</v>
      </c>
      <c r="F101" s="8" t="s">
        <v>557</v>
      </c>
      <c r="G101" s="8" t="s">
        <v>1042</v>
      </c>
      <c r="H101" s="8" t="s">
        <v>1117</v>
      </c>
      <c r="I101" s="8" t="s">
        <v>1044</v>
      </c>
      <c r="J101" s="8" t="s">
        <v>424</v>
      </c>
      <c r="K101" s="8" t="s">
        <v>986</v>
      </c>
      <c r="L101" s="8" t="s">
        <v>987</v>
      </c>
      <c r="M101" s="8" t="s">
        <v>1118</v>
      </c>
      <c r="N101" s="8" t="s">
        <v>138</v>
      </c>
    </row>
    <row r="102" customFormat="false" ht="23.85" hidden="false" customHeight="false" outlineLevel="0" collapsed="false">
      <c r="A102" s="8" t="s">
        <v>1116</v>
      </c>
      <c r="B102" s="8" t="s">
        <v>980</v>
      </c>
      <c r="C102" s="8" t="s">
        <v>981</v>
      </c>
      <c r="D102" s="8" t="s">
        <v>1047</v>
      </c>
      <c r="E102" s="8" t="s">
        <v>1048</v>
      </c>
      <c r="F102" s="8" t="s">
        <v>557</v>
      </c>
      <c r="G102" s="8" t="s">
        <v>1042</v>
      </c>
      <c r="H102" s="8" t="s">
        <v>1117</v>
      </c>
      <c r="I102" s="8" t="s">
        <v>1044</v>
      </c>
      <c r="J102" s="8" t="s">
        <v>424</v>
      </c>
      <c r="K102" s="8" t="s">
        <v>986</v>
      </c>
      <c r="L102" s="8" t="s">
        <v>987</v>
      </c>
      <c r="M102" s="8" t="s">
        <v>1118</v>
      </c>
      <c r="N102" s="8" t="s">
        <v>138</v>
      </c>
    </row>
    <row r="103" customFormat="false" ht="23.85" hidden="false" customHeight="false" outlineLevel="0" collapsed="false">
      <c r="A103" s="8" t="s">
        <v>1116</v>
      </c>
      <c r="B103" s="8" t="s">
        <v>980</v>
      </c>
      <c r="C103" s="8" t="s">
        <v>981</v>
      </c>
      <c r="D103" s="8" t="s">
        <v>663</v>
      </c>
      <c r="E103" s="8" t="s">
        <v>1041</v>
      </c>
      <c r="F103" s="8" t="s">
        <v>557</v>
      </c>
      <c r="G103" s="8" t="s">
        <v>985</v>
      </c>
      <c r="H103" s="8" t="s">
        <v>1117</v>
      </c>
      <c r="I103" s="8" t="s">
        <v>1044</v>
      </c>
      <c r="J103" s="8" t="s">
        <v>424</v>
      </c>
      <c r="K103" s="8" t="s">
        <v>986</v>
      </c>
      <c r="L103" s="8" t="s">
        <v>987</v>
      </c>
      <c r="M103" s="8" t="s">
        <v>1118</v>
      </c>
      <c r="N103" s="8" t="s">
        <v>138</v>
      </c>
    </row>
    <row r="104" customFormat="false" ht="23.85" hidden="false" customHeight="false" outlineLevel="0" collapsed="false">
      <c r="A104" s="8" t="s">
        <v>1116</v>
      </c>
      <c r="B104" s="8" t="s">
        <v>980</v>
      </c>
      <c r="C104" s="8" t="s">
        <v>981</v>
      </c>
      <c r="D104" s="8" t="s">
        <v>1083</v>
      </c>
      <c r="E104" s="8" t="s">
        <v>1069</v>
      </c>
      <c r="F104" s="8" t="s">
        <v>557</v>
      </c>
      <c r="G104" s="8" t="s">
        <v>1042</v>
      </c>
      <c r="H104" s="8" t="s">
        <v>1117</v>
      </c>
      <c r="I104" s="8" t="s">
        <v>1044</v>
      </c>
      <c r="J104" s="8" t="s">
        <v>424</v>
      </c>
      <c r="K104" s="8" t="s">
        <v>986</v>
      </c>
      <c r="L104" s="8" t="s">
        <v>987</v>
      </c>
      <c r="M104" s="8" t="s">
        <v>1118</v>
      </c>
      <c r="N104" s="8" t="s">
        <v>138</v>
      </c>
    </row>
    <row r="105" customFormat="false" ht="23.85" hidden="false" customHeight="false" outlineLevel="0" collapsed="false">
      <c r="A105" s="8" t="s">
        <v>1116</v>
      </c>
      <c r="B105" s="8" t="s">
        <v>980</v>
      </c>
      <c r="C105" s="8" t="s">
        <v>981</v>
      </c>
      <c r="D105" s="8" t="s">
        <v>1085</v>
      </c>
      <c r="E105" s="8" t="s">
        <v>1051</v>
      </c>
      <c r="F105" s="8" t="s">
        <v>557</v>
      </c>
      <c r="G105" s="8" t="s">
        <v>1042</v>
      </c>
      <c r="H105" s="8" t="s">
        <v>1117</v>
      </c>
      <c r="I105" s="8" t="s">
        <v>1044</v>
      </c>
      <c r="J105" s="8" t="s">
        <v>424</v>
      </c>
      <c r="K105" s="8" t="s">
        <v>986</v>
      </c>
      <c r="L105" s="8" t="s">
        <v>987</v>
      </c>
      <c r="M105" s="8" t="s">
        <v>1118</v>
      </c>
      <c r="N105" s="8" t="s">
        <v>138</v>
      </c>
    </row>
    <row r="106" customFormat="false" ht="23.85" hidden="false" customHeight="false" outlineLevel="0" collapsed="false">
      <c r="A106" s="8" t="s">
        <v>1116</v>
      </c>
      <c r="B106" s="8" t="s">
        <v>980</v>
      </c>
      <c r="C106" s="8" t="s">
        <v>981</v>
      </c>
      <c r="D106" s="8" t="s">
        <v>1114</v>
      </c>
      <c r="E106" s="8" t="s">
        <v>1051</v>
      </c>
      <c r="F106" s="8" t="s">
        <v>557</v>
      </c>
      <c r="G106" s="8" t="s">
        <v>1042</v>
      </c>
      <c r="H106" s="8" t="s">
        <v>1117</v>
      </c>
      <c r="I106" s="8" t="s">
        <v>1044</v>
      </c>
      <c r="J106" s="8" t="s">
        <v>424</v>
      </c>
      <c r="K106" s="8" t="s">
        <v>986</v>
      </c>
      <c r="L106" s="8" t="s">
        <v>987</v>
      </c>
      <c r="M106" s="8" t="s">
        <v>1118</v>
      </c>
      <c r="N106" s="8" t="s">
        <v>138</v>
      </c>
    </row>
    <row r="107" customFormat="false" ht="23.85" hidden="false" customHeight="false" outlineLevel="0" collapsed="false">
      <c r="A107" s="8" t="s">
        <v>1119</v>
      </c>
      <c r="B107" s="8" t="s">
        <v>988</v>
      </c>
      <c r="C107" s="8" t="s">
        <v>989</v>
      </c>
      <c r="D107" s="8" t="s">
        <v>555</v>
      </c>
      <c r="E107" s="8" t="s">
        <v>1041</v>
      </c>
      <c r="F107" s="8" t="s">
        <v>557</v>
      </c>
      <c r="G107" s="8" t="s">
        <v>1042</v>
      </c>
      <c r="H107" s="8" t="s">
        <v>1117</v>
      </c>
      <c r="I107" s="8" t="s">
        <v>1044</v>
      </c>
      <c r="J107" s="8" t="s">
        <v>424</v>
      </c>
      <c r="K107" s="8" t="s">
        <v>993</v>
      </c>
      <c r="L107" s="8" t="s">
        <v>994</v>
      </c>
      <c r="M107" s="8" t="s">
        <v>1120</v>
      </c>
      <c r="N107" s="8" t="s">
        <v>132</v>
      </c>
    </row>
    <row r="108" customFormat="false" ht="23.85" hidden="false" customHeight="false" outlineLevel="0" collapsed="false">
      <c r="A108" s="8" t="s">
        <v>1119</v>
      </c>
      <c r="B108" s="8" t="s">
        <v>988</v>
      </c>
      <c r="C108" s="8" t="s">
        <v>989</v>
      </c>
      <c r="D108" s="8" t="s">
        <v>643</v>
      </c>
      <c r="E108" s="8" t="s">
        <v>1046</v>
      </c>
      <c r="F108" s="8" t="s">
        <v>557</v>
      </c>
      <c r="G108" s="8" t="s">
        <v>1042</v>
      </c>
      <c r="H108" s="8" t="s">
        <v>1117</v>
      </c>
      <c r="I108" s="8" t="s">
        <v>1044</v>
      </c>
      <c r="J108" s="8" t="s">
        <v>424</v>
      </c>
      <c r="K108" s="8" t="s">
        <v>993</v>
      </c>
      <c r="L108" s="8" t="s">
        <v>994</v>
      </c>
      <c r="M108" s="8" t="s">
        <v>1120</v>
      </c>
      <c r="N108" s="8" t="s">
        <v>132</v>
      </c>
    </row>
    <row r="109" customFormat="false" ht="23.85" hidden="false" customHeight="false" outlineLevel="0" collapsed="false">
      <c r="A109" s="8" t="s">
        <v>1119</v>
      </c>
      <c r="B109" s="8" t="s">
        <v>988</v>
      </c>
      <c r="C109" s="8" t="s">
        <v>989</v>
      </c>
      <c r="D109" s="8" t="s">
        <v>1047</v>
      </c>
      <c r="E109" s="8" t="s">
        <v>1048</v>
      </c>
      <c r="F109" s="8" t="s">
        <v>557</v>
      </c>
      <c r="G109" s="8" t="s">
        <v>1042</v>
      </c>
      <c r="H109" s="8" t="s">
        <v>1117</v>
      </c>
      <c r="I109" s="8" t="s">
        <v>1044</v>
      </c>
      <c r="J109" s="8" t="s">
        <v>424</v>
      </c>
      <c r="K109" s="8" t="s">
        <v>993</v>
      </c>
      <c r="L109" s="8" t="s">
        <v>994</v>
      </c>
      <c r="M109" s="8" t="s">
        <v>1120</v>
      </c>
      <c r="N109" s="8" t="s">
        <v>132</v>
      </c>
    </row>
    <row r="110" customFormat="false" ht="23.85" hidden="false" customHeight="false" outlineLevel="0" collapsed="false">
      <c r="A110" s="8" t="s">
        <v>1119</v>
      </c>
      <c r="B110" s="8" t="s">
        <v>988</v>
      </c>
      <c r="C110" s="8" t="s">
        <v>989</v>
      </c>
      <c r="D110" s="8" t="s">
        <v>663</v>
      </c>
      <c r="E110" s="8" t="s">
        <v>1041</v>
      </c>
      <c r="F110" s="8" t="s">
        <v>557</v>
      </c>
      <c r="G110" s="8" t="s">
        <v>992</v>
      </c>
      <c r="H110" s="8" t="s">
        <v>1117</v>
      </c>
      <c r="I110" s="8" t="s">
        <v>1044</v>
      </c>
      <c r="J110" s="8" t="s">
        <v>424</v>
      </c>
      <c r="K110" s="8" t="s">
        <v>993</v>
      </c>
      <c r="L110" s="8" t="s">
        <v>994</v>
      </c>
      <c r="M110" s="8" t="s">
        <v>1120</v>
      </c>
      <c r="N110" s="8" t="s">
        <v>132</v>
      </c>
    </row>
    <row r="111" customFormat="false" ht="23.85" hidden="false" customHeight="false" outlineLevel="0" collapsed="false">
      <c r="A111" s="8" t="s">
        <v>1119</v>
      </c>
      <c r="B111" s="8" t="s">
        <v>988</v>
      </c>
      <c r="C111" s="8" t="s">
        <v>989</v>
      </c>
      <c r="D111" s="8" t="s">
        <v>1091</v>
      </c>
      <c r="E111" s="8" t="s">
        <v>1051</v>
      </c>
      <c r="F111" s="8" t="s">
        <v>557</v>
      </c>
      <c r="G111" s="8" t="s">
        <v>1042</v>
      </c>
      <c r="H111" s="8" t="s">
        <v>1117</v>
      </c>
      <c r="I111" s="8" t="s">
        <v>1044</v>
      </c>
      <c r="J111" s="8" t="s">
        <v>424</v>
      </c>
      <c r="K111" s="8" t="s">
        <v>993</v>
      </c>
      <c r="L111" s="8" t="s">
        <v>994</v>
      </c>
      <c r="M111" s="8" t="s">
        <v>1120</v>
      </c>
      <c r="N111" s="8" t="s">
        <v>132</v>
      </c>
    </row>
  </sheetData>
  <autoFilter ref="A3:N1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34"/>
    <col collapsed="false" customWidth="true" hidden="false" outlineLevel="0" max="8" min="8" style="0" width="38"/>
    <col collapsed="false" customWidth="true" hidden="false" outlineLevel="0" max="9" min="9" style="0" width="28"/>
    <col collapsed="false" customWidth="true" hidden="false" outlineLevel="0" max="10" min="10" style="0" width="12"/>
    <col collapsed="false" customWidth="true" hidden="false" outlineLevel="0" max="11" min="11" style="0" width="28"/>
    <col collapsed="false" customWidth="true" hidden="false" outlineLevel="0" max="12" min="12" style="0" width="24"/>
  </cols>
  <sheetData>
    <row r="1" customFormat="false" ht="17.35" hidden="false" customHeight="false" outlineLevel="0" collapsed="false">
      <c r="A1" s="1" t="s">
        <v>1121</v>
      </c>
    </row>
    <row r="2" customFormat="false" ht="15" hidden="false" customHeight="false" outlineLevel="0" collapsed="false">
      <c r="A2" s="6" t="s">
        <v>51</v>
      </c>
    </row>
    <row r="3" customFormat="false" ht="15" hidden="false" customHeight="false" outlineLevel="0" collapsed="false">
      <c r="A3" s="7" t="s">
        <v>1122</v>
      </c>
      <c r="B3" s="7" t="s">
        <v>1123</v>
      </c>
      <c r="C3" s="7" t="s">
        <v>1036</v>
      </c>
      <c r="D3" s="7" t="s">
        <v>637</v>
      </c>
      <c r="E3" s="7" t="s">
        <v>1124</v>
      </c>
      <c r="F3" s="7" t="s">
        <v>1037</v>
      </c>
      <c r="G3" s="7" t="s">
        <v>1125</v>
      </c>
      <c r="H3" s="7" t="s">
        <v>554</v>
      </c>
      <c r="I3" s="7" t="s">
        <v>54</v>
      </c>
      <c r="J3" s="7" t="s">
        <v>1126</v>
      </c>
      <c r="K3" s="7" t="s">
        <v>1127</v>
      </c>
      <c r="L3" s="7" t="s">
        <v>57</v>
      </c>
    </row>
    <row r="4" customFormat="false" ht="23.85" hidden="false" customHeight="false" outlineLevel="0" collapsed="false">
      <c r="A4" s="8" t="s">
        <v>1128</v>
      </c>
      <c r="B4" s="8" t="s">
        <v>555</v>
      </c>
      <c r="C4" s="8" t="s">
        <v>556</v>
      </c>
      <c r="D4" s="8" t="s">
        <v>1129</v>
      </c>
      <c r="E4" s="8" t="s">
        <v>1130</v>
      </c>
      <c r="F4" s="8" t="s">
        <v>557</v>
      </c>
      <c r="G4" s="8" t="s">
        <v>1131</v>
      </c>
      <c r="H4" s="8" t="s">
        <v>560</v>
      </c>
      <c r="I4" s="8" t="s">
        <v>559</v>
      </c>
      <c r="J4" s="8" t="s">
        <v>1132</v>
      </c>
      <c r="K4" s="8" t="s">
        <v>1133</v>
      </c>
      <c r="L4" s="8" t="s">
        <v>561</v>
      </c>
    </row>
    <row r="5" customFormat="false" ht="23.85" hidden="false" customHeight="false" outlineLevel="0" collapsed="false">
      <c r="A5" s="8" t="s">
        <v>1128</v>
      </c>
      <c r="B5" s="8" t="s">
        <v>562</v>
      </c>
      <c r="C5" s="8" t="s">
        <v>556</v>
      </c>
      <c r="D5" s="8" t="s">
        <v>1134</v>
      </c>
      <c r="E5" s="8" t="s">
        <v>1135</v>
      </c>
      <c r="F5" s="8" t="s">
        <v>570</v>
      </c>
      <c r="G5" s="8" t="s">
        <v>15</v>
      </c>
      <c r="H5" s="8" t="s">
        <v>1136</v>
      </c>
      <c r="I5" s="8" t="s">
        <v>559</v>
      </c>
      <c r="J5" s="8" t="s">
        <v>1137</v>
      </c>
      <c r="K5" s="8" t="s">
        <v>1138</v>
      </c>
      <c r="L5" s="8" t="s">
        <v>561</v>
      </c>
    </row>
    <row r="6" customFormat="false" ht="23.85" hidden="false" customHeight="false" outlineLevel="0" collapsed="false">
      <c r="A6" s="8" t="s">
        <v>1128</v>
      </c>
      <c r="B6" s="8" t="s">
        <v>567</v>
      </c>
      <c r="C6" s="8" t="s">
        <v>556</v>
      </c>
      <c r="D6" s="8" t="s">
        <v>1139</v>
      </c>
      <c r="E6" s="8" t="s">
        <v>1135</v>
      </c>
      <c r="F6" s="8" t="s">
        <v>570</v>
      </c>
      <c r="G6" s="8" t="s">
        <v>15</v>
      </c>
      <c r="H6" s="8" t="s">
        <v>1140</v>
      </c>
      <c r="I6" s="8" t="s">
        <v>559</v>
      </c>
      <c r="J6" s="8" t="s">
        <v>1137</v>
      </c>
      <c r="K6" s="8" t="s">
        <v>1141</v>
      </c>
      <c r="L6" s="8" t="s">
        <v>561</v>
      </c>
    </row>
    <row r="7" customFormat="false" ht="23.85" hidden="false" customHeight="false" outlineLevel="0" collapsed="false">
      <c r="A7" s="8" t="s">
        <v>1128</v>
      </c>
      <c r="B7" s="8" t="s">
        <v>568</v>
      </c>
      <c r="C7" s="8" t="s">
        <v>569</v>
      </c>
      <c r="D7" s="8" t="s">
        <v>1142</v>
      </c>
      <c r="E7" s="8" t="s">
        <v>1143</v>
      </c>
      <c r="F7" s="8" t="s">
        <v>570</v>
      </c>
      <c r="G7" s="8" t="s">
        <v>1144</v>
      </c>
      <c r="H7" s="8" t="s">
        <v>572</v>
      </c>
      <c r="I7" s="8" t="s">
        <v>559</v>
      </c>
      <c r="J7" s="8" t="s">
        <v>1137</v>
      </c>
      <c r="K7" s="8" t="s">
        <v>1145</v>
      </c>
      <c r="L7" s="8" t="s">
        <v>561</v>
      </c>
    </row>
    <row r="8" customFormat="false" ht="23.85" hidden="false" customHeight="false" outlineLevel="0" collapsed="false">
      <c r="A8" s="8" t="s">
        <v>1128</v>
      </c>
      <c r="B8" s="8" t="s">
        <v>573</v>
      </c>
      <c r="C8" s="8" t="s">
        <v>574</v>
      </c>
      <c r="D8" s="8" t="s">
        <v>1146</v>
      </c>
      <c r="E8" s="8" t="s">
        <v>1147</v>
      </c>
      <c r="F8" s="8" t="s">
        <v>570</v>
      </c>
      <c r="G8" s="8" t="s">
        <v>1148</v>
      </c>
      <c r="H8" s="8" t="s">
        <v>575</v>
      </c>
      <c r="I8" s="8" t="s">
        <v>559</v>
      </c>
      <c r="J8" s="8" t="s">
        <v>1137</v>
      </c>
      <c r="K8" s="8" t="s">
        <v>571</v>
      </c>
      <c r="L8" s="8" t="s">
        <v>561</v>
      </c>
    </row>
    <row r="9" customFormat="false" ht="23.85" hidden="false" customHeight="false" outlineLevel="0" collapsed="false">
      <c r="A9" s="8" t="s">
        <v>1128</v>
      </c>
      <c r="B9" s="8" t="s">
        <v>576</v>
      </c>
      <c r="C9" s="8" t="s">
        <v>574</v>
      </c>
      <c r="D9" s="8" t="s">
        <v>1149</v>
      </c>
      <c r="E9" s="8" t="s">
        <v>1150</v>
      </c>
      <c r="F9" s="8" t="s">
        <v>570</v>
      </c>
      <c r="G9" s="8" t="s">
        <v>575</v>
      </c>
      <c r="H9" s="8" t="s">
        <v>578</v>
      </c>
      <c r="I9" s="8" t="s">
        <v>559</v>
      </c>
      <c r="J9" s="8" t="s">
        <v>1132</v>
      </c>
      <c r="K9" s="8" t="s">
        <v>1151</v>
      </c>
      <c r="L9" s="8" t="s">
        <v>561</v>
      </c>
    </row>
    <row r="10" customFormat="false" ht="23.85" hidden="false" customHeight="false" outlineLevel="0" collapsed="false">
      <c r="A10" s="8" t="s">
        <v>1128</v>
      </c>
      <c r="B10" s="8" t="s">
        <v>579</v>
      </c>
      <c r="C10" s="8" t="s">
        <v>574</v>
      </c>
      <c r="D10" s="8" t="s">
        <v>1152</v>
      </c>
      <c r="E10" s="8" t="s">
        <v>1153</v>
      </c>
      <c r="F10" s="8" t="s">
        <v>570</v>
      </c>
      <c r="G10" s="8" t="s">
        <v>575</v>
      </c>
      <c r="H10" s="8" t="s">
        <v>581</v>
      </c>
      <c r="I10" s="8" t="s">
        <v>559</v>
      </c>
      <c r="J10" s="8" t="s">
        <v>1132</v>
      </c>
      <c r="K10" s="8" t="s">
        <v>1151</v>
      </c>
      <c r="L10" s="8" t="s">
        <v>561</v>
      </c>
    </row>
    <row r="11" customFormat="false" ht="23.85" hidden="false" customHeight="false" outlineLevel="0" collapsed="false">
      <c r="A11" s="8" t="s">
        <v>1128</v>
      </c>
      <c r="B11" s="8" t="s">
        <v>582</v>
      </c>
      <c r="C11" s="8" t="s">
        <v>583</v>
      </c>
      <c r="D11" s="8" t="s">
        <v>1154</v>
      </c>
      <c r="E11" s="8" t="s">
        <v>1155</v>
      </c>
      <c r="F11" s="8" t="s">
        <v>557</v>
      </c>
      <c r="G11" s="8" t="s">
        <v>15</v>
      </c>
      <c r="H11" s="8" t="s">
        <v>585</v>
      </c>
      <c r="I11" s="8" t="s">
        <v>559</v>
      </c>
      <c r="J11" s="8" t="s">
        <v>1132</v>
      </c>
      <c r="K11" s="8" t="s">
        <v>1156</v>
      </c>
      <c r="L11" s="8" t="s">
        <v>561</v>
      </c>
    </row>
    <row r="12" customFormat="false" ht="23.85" hidden="false" customHeight="false" outlineLevel="0" collapsed="false">
      <c r="A12" s="8" t="s">
        <v>1128</v>
      </c>
      <c r="B12" s="8" t="s">
        <v>586</v>
      </c>
      <c r="C12" s="8" t="s">
        <v>574</v>
      </c>
      <c r="D12" s="8" t="s">
        <v>1157</v>
      </c>
      <c r="E12" s="8" t="s">
        <v>1158</v>
      </c>
      <c r="F12" s="8" t="s">
        <v>557</v>
      </c>
      <c r="G12" s="8" t="s">
        <v>1159</v>
      </c>
      <c r="H12" s="8" t="s">
        <v>575</v>
      </c>
      <c r="I12" s="8" t="s">
        <v>559</v>
      </c>
      <c r="J12" s="8" t="s">
        <v>1132</v>
      </c>
      <c r="K12" s="8" t="s">
        <v>1160</v>
      </c>
      <c r="L12" s="8" t="s">
        <v>561</v>
      </c>
    </row>
    <row r="13" customFormat="false" ht="23.85" hidden="false" customHeight="false" outlineLevel="0" collapsed="false">
      <c r="A13" s="8" t="s">
        <v>1128</v>
      </c>
      <c r="B13" s="8" t="s">
        <v>588</v>
      </c>
      <c r="C13" s="8" t="s">
        <v>574</v>
      </c>
      <c r="D13" s="8" t="s">
        <v>1161</v>
      </c>
      <c r="E13" s="8" t="s">
        <v>1162</v>
      </c>
      <c r="F13" s="8" t="s">
        <v>589</v>
      </c>
      <c r="G13" s="8" t="s">
        <v>1162</v>
      </c>
      <c r="H13" s="8" t="s">
        <v>591</v>
      </c>
      <c r="I13" s="8" t="s">
        <v>559</v>
      </c>
      <c r="J13" s="8" t="s">
        <v>1132</v>
      </c>
      <c r="K13" s="8" t="s">
        <v>1163</v>
      </c>
      <c r="L13" s="8" t="s">
        <v>561</v>
      </c>
    </row>
    <row r="14" customFormat="false" ht="23.85" hidden="false" customHeight="false" outlineLevel="0" collapsed="false">
      <c r="A14" s="8" t="s">
        <v>1128</v>
      </c>
      <c r="B14" s="8" t="s">
        <v>592</v>
      </c>
      <c r="C14" s="8" t="s">
        <v>574</v>
      </c>
      <c r="D14" s="8" t="s">
        <v>1164</v>
      </c>
      <c r="E14" s="8" t="s">
        <v>1165</v>
      </c>
      <c r="F14" s="8" t="s">
        <v>557</v>
      </c>
      <c r="G14" s="8" t="s">
        <v>1166</v>
      </c>
      <c r="H14" s="8" t="s">
        <v>575</v>
      </c>
      <c r="I14" s="8" t="s">
        <v>559</v>
      </c>
      <c r="J14" s="8" t="s">
        <v>1132</v>
      </c>
      <c r="K14" s="8" t="s">
        <v>1167</v>
      </c>
      <c r="L14" s="8" t="s">
        <v>561</v>
      </c>
    </row>
    <row r="15" customFormat="false" ht="23.85" hidden="false" customHeight="false" outlineLevel="0" collapsed="false">
      <c r="A15" s="8" t="s">
        <v>1128</v>
      </c>
      <c r="B15" s="8" t="s">
        <v>594</v>
      </c>
      <c r="C15" s="8" t="s">
        <v>574</v>
      </c>
      <c r="D15" s="8" t="s">
        <v>1168</v>
      </c>
      <c r="E15" s="8" t="s">
        <v>1169</v>
      </c>
      <c r="F15" s="8" t="s">
        <v>557</v>
      </c>
      <c r="G15" s="8" t="s">
        <v>1169</v>
      </c>
      <c r="H15" s="8" t="s">
        <v>596</v>
      </c>
      <c r="I15" s="8" t="s">
        <v>559</v>
      </c>
      <c r="J15" s="8" t="s">
        <v>1132</v>
      </c>
      <c r="K15" s="8" t="s">
        <v>595</v>
      </c>
      <c r="L15" s="8" t="s">
        <v>561</v>
      </c>
    </row>
    <row r="16" customFormat="false" ht="23.85" hidden="false" customHeight="false" outlineLevel="0" collapsed="false">
      <c r="A16" s="8" t="s">
        <v>1128</v>
      </c>
      <c r="B16" s="8" t="s">
        <v>597</v>
      </c>
      <c r="C16" s="8" t="s">
        <v>574</v>
      </c>
      <c r="D16" s="8" t="s">
        <v>1170</v>
      </c>
      <c r="E16" s="8" t="s">
        <v>1171</v>
      </c>
      <c r="F16" s="8" t="s">
        <v>557</v>
      </c>
      <c r="G16" s="8" t="s">
        <v>1172</v>
      </c>
      <c r="H16" s="8" t="s">
        <v>575</v>
      </c>
      <c r="I16" s="8" t="s">
        <v>559</v>
      </c>
      <c r="J16" s="8" t="s">
        <v>1132</v>
      </c>
      <c r="K16" s="8" t="s">
        <v>1173</v>
      </c>
      <c r="L16" s="8" t="s">
        <v>561</v>
      </c>
    </row>
    <row r="17" customFormat="false" ht="23.85" hidden="false" customHeight="false" outlineLevel="0" collapsed="false">
      <c r="A17" s="8" t="s">
        <v>1128</v>
      </c>
      <c r="B17" s="8" t="s">
        <v>599</v>
      </c>
      <c r="C17" s="8" t="s">
        <v>574</v>
      </c>
      <c r="D17" s="8" t="s">
        <v>1174</v>
      </c>
      <c r="E17" s="8" t="s">
        <v>1175</v>
      </c>
      <c r="F17" s="8" t="s">
        <v>557</v>
      </c>
      <c r="G17" s="8" t="s">
        <v>1176</v>
      </c>
      <c r="H17" s="8" t="s">
        <v>575</v>
      </c>
      <c r="I17" s="8" t="s">
        <v>559</v>
      </c>
      <c r="J17" s="8" t="s">
        <v>1132</v>
      </c>
      <c r="K17" s="8" t="s">
        <v>1177</v>
      </c>
      <c r="L17" s="8" t="s">
        <v>561</v>
      </c>
    </row>
    <row r="18" customFormat="false" ht="23.85" hidden="false" customHeight="false" outlineLevel="0" collapsed="false">
      <c r="A18" s="8" t="s">
        <v>1128</v>
      </c>
      <c r="B18" s="8" t="s">
        <v>601</v>
      </c>
      <c r="C18" s="8" t="s">
        <v>574</v>
      </c>
      <c r="D18" s="8" t="s">
        <v>1178</v>
      </c>
      <c r="E18" s="8" t="s">
        <v>1179</v>
      </c>
      <c r="F18" s="8" t="s">
        <v>557</v>
      </c>
      <c r="G18" s="8" t="s">
        <v>1180</v>
      </c>
      <c r="H18" s="8" t="s">
        <v>575</v>
      </c>
      <c r="I18" s="8" t="s">
        <v>559</v>
      </c>
      <c r="J18" s="8" t="s">
        <v>1132</v>
      </c>
      <c r="K18" s="8" t="s">
        <v>925</v>
      </c>
      <c r="L18" s="8" t="s">
        <v>561</v>
      </c>
    </row>
    <row r="19" customFormat="false" ht="23.85" hidden="false" customHeight="false" outlineLevel="0" collapsed="false">
      <c r="A19" s="8" t="s">
        <v>1128</v>
      </c>
      <c r="B19" s="8" t="s">
        <v>603</v>
      </c>
      <c r="C19" s="8" t="s">
        <v>583</v>
      </c>
      <c r="D19" s="8" t="s">
        <v>1181</v>
      </c>
      <c r="E19" s="8" t="s">
        <v>1182</v>
      </c>
      <c r="F19" s="8" t="s">
        <v>589</v>
      </c>
      <c r="G19" s="8" t="s">
        <v>15</v>
      </c>
      <c r="H19" s="8" t="s">
        <v>605</v>
      </c>
      <c r="I19" s="8" t="s">
        <v>559</v>
      </c>
      <c r="J19" s="8" t="s">
        <v>1132</v>
      </c>
      <c r="K19" s="8" t="s">
        <v>604</v>
      </c>
      <c r="L19" s="8" t="s">
        <v>561</v>
      </c>
    </row>
    <row r="20" customFormat="false" ht="23.85" hidden="false" customHeight="false" outlineLevel="0" collapsed="false">
      <c r="A20" s="8" t="s">
        <v>1128</v>
      </c>
      <c r="B20" s="8" t="s">
        <v>606</v>
      </c>
      <c r="C20" s="8" t="s">
        <v>569</v>
      </c>
      <c r="D20" s="8" t="s">
        <v>1183</v>
      </c>
      <c r="E20" s="8" t="s">
        <v>1184</v>
      </c>
      <c r="F20" s="8" t="s">
        <v>557</v>
      </c>
      <c r="G20" s="8" t="s">
        <v>1185</v>
      </c>
      <c r="H20" s="8" t="s">
        <v>608</v>
      </c>
      <c r="I20" s="8" t="s">
        <v>559</v>
      </c>
      <c r="J20" s="8" t="s">
        <v>1132</v>
      </c>
      <c r="K20" s="8" t="s">
        <v>607</v>
      </c>
      <c r="L20" s="8" t="s">
        <v>561</v>
      </c>
    </row>
    <row r="21" customFormat="false" ht="23.85" hidden="false" customHeight="false" outlineLevel="0" collapsed="false">
      <c r="A21" s="8" t="s">
        <v>1128</v>
      </c>
      <c r="B21" s="8" t="s">
        <v>609</v>
      </c>
      <c r="C21" s="8" t="s">
        <v>569</v>
      </c>
      <c r="D21" s="8" t="s">
        <v>1186</v>
      </c>
      <c r="E21" s="8" t="s">
        <v>1184</v>
      </c>
      <c r="F21" s="8" t="s">
        <v>557</v>
      </c>
      <c r="G21" s="8" t="s">
        <v>1185</v>
      </c>
      <c r="H21" s="8" t="s">
        <v>611</v>
      </c>
      <c r="I21" s="8" t="s">
        <v>559</v>
      </c>
      <c r="J21" s="8" t="s">
        <v>1132</v>
      </c>
      <c r="K21" s="8" t="s">
        <v>1187</v>
      </c>
      <c r="L21" s="8" t="s">
        <v>561</v>
      </c>
    </row>
    <row r="22" customFormat="false" ht="23.85" hidden="false" customHeight="false" outlineLevel="0" collapsed="false">
      <c r="A22" s="8" t="s">
        <v>1128</v>
      </c>
      <c r="B22" s="8" t="s">
        <v>612</v>
      </c>
      <c r="C22" s="8" t="s">
        <v>569</v>
      </c>
      <c r="D22" s="8" t="s">
        <v>1188</v>
      </c>
      <c r="E22" s="8" t="s">
        <v>1189</v>
      </c>
      <c r="F22" s="8" t="s">
        <v>557</v>
      </c>
      <c r="G22" s="8" t="s">
        <v>1185</v>
      </c>
      <c r="H22" s="8" t="s">
        <v>613</v>
      </c>
      <c r="I22" s="8" t="s">
        <v>559</v>
      </c>
      <c r="J22" s="8" t="s">
        <v>1132</v>
      </c>
      <c r="K22" s="8" t="s">
        <v>467</v>
      </c>
      <c r="L22" s="8" t="s">
        <v>561</v>
      </c>
    </row>
    <row r="23" customFormat="false" ht="23.85" hidden="false" customHeight="false" outlineLevel="0" collapsed="false">
      <c r="A23" s="8" t="s">
        <v>1128</v>
      </c>
      <c r="B23" s="8" t="s">
        <v>614</v>
      </c>
      <c r="C23" s="8" t="s">
        <v>556</v>
      </c>
      <c r="D23" s="8" t="s">
        <v>1190</v>
      </c>
      <c r="E23" s="8" t="s">
        <v>1191</v>
      </c>
      <c r="F23" s="8" t="s">
        <v>557</v>
      </c>
      <c r="G23" s="8" t="s">
        <v>1192</v>
      </c>
      <c r="H23" s="8" t="s">
        <v>616</v>
      </c>
      <c r="I23" s="8" t="s">
        <v>559</v>
      </c>
      <c r="J23" s="8" t="s">
        <v>1132</v>
      </c>
      <c r="K23" s="8" t="s">
        <v>615</v>
      </c>
      <c r="L23" s="8" t="s">
        <v>561</v>
      </c>
    </row>
    <row r="24" customFormat="false" ht="23.85" hidden="false" customHeight="false" outlineLevel="0" collapsed="false">
      <c r="A24" s="8" t="s">
        <v>1128</v>
      </c>
      <c r="B24" s="8" t="s">
        <v>617</v>
      </c>
      <c r="C24" s="8" t="s">
        <v>618</v>
      </c>
      <c r="D24" s="8" t="s">
        <v>1193</v>
      </c>
      <c r="E24" s="8" t="s">
        <v>1194</v>
      </c>
      <c r="F24" s="8" t="s">
        <v>619</v>
      </c>
      <c r="G24" s="8" t="s">
        <v>1185</v>
      </c>
      <c r="H24" s="8" t="s">
        <v>621</v>
      </c>
      <c r="I24" s="8" t="s">
        <v>559</v>
      </c>
      <c r="J24" s="8" t="s">
        <v>1132</v>
      </c>
      <c r="K24" s="8" t="s">
        <v>1195</v>
      </c>
      <c r="L24" s="8" t="s">
        <v>561</v>
      </c>
    </row>
    <row r="25" customFormat="false" ht="23.85" hidden="false" customHeight="false" outlineLevel="0" collapsed="false">
      <c r="A25" s="8" t="s">
        <v>1128</v>
      </c>
      <c r="B25" s="8" t="s">
        <v>622</v>
      </c>
      <c r="C25" s="8" t="s">
        <v>574</v>
      </c>
      <c r="D25" s="8" t="s">
        <v>1196</v>
      </c>
      <c r="E25" s="8" t="s">
        <v>570</v>
      </c>
      <c r="F25" s="8" t="s">
        <v>619</v>
      </c>
      <c r="G25" s="8" t="s">
        <v>1197</v>
      </c>
      <c r="H25" s="8" t="s">
        <v>624</v>
      </c>
      <c r="I25" s="8" t="s">
        <v>559</v>
      </c>
      <c r="J25" s="8" t="s">
        <v>1132</v>
      </c>
      <c r="K25" s="8" t="s">
        <v>1198</v>
      </c>
      <c r="L25" s="8" t="s">
        <v>561</v>
      </c>
    </row>
    <row r="26" customFormat="false" ht="23.85" hidden="false" customHeight="false" outlineLevel="0" collapsed="false">
      <c r="A26" s="8" t="s">
        <v>1128</v>
      </c>
      <c r="B26" s="8" t="s">
        <v>625</v>
      </c>
      <c r="C26" s="8" t="s">
        <v>574</v>
      </c>
      <c r="D26" s="8" t="s">
        <v>1199</v>
      </c>
      <c r="E26" s="8" t="s">
        <v>557</v>
      </c>
      <c r="F26" s="8" t="s">
        <v>619</v>
      </c>
      <c r="G26" s="8" t="s">
        <v>1197</v>
      </c>
      <c r="H26" s="8" t="s">
        <v>626</v>
      </c>
      <c r="I26" s="8" t="s">
        <v>559</v>
      </c>
      <c r="J26" s="8" t="s">
        <v>1132</v>
      </c>
      <c r="K26" s="8" t="s">
        <v>1198</v>
      </c>
      <c r="L26" s="8" t="s">
        <v>561</v>
      </c>
    </row>
    <row r="27" customFormat="false" ht="23.85" hidden="false" customHeight="false" outlineLevel="0" collapsed="false">
      <c r="A27" s="8" t="s">
        <v>1128</v>
      </c>
      <c r="B27" s="8" t="s">
        <v>627</v>
      </c>
      <c r="C27" s="8" t="s">
        <v>574</v>
      </c>
      <c r="D27" s="8" t="s">
        <v>1200</v>
      </c>
      <c r="E27" s="8" t="s">
        <v>1201</v>
      </c>
      <c r="F27" s="8" t="s">
        <v>557</v>
      </c>
      <c r="G27" s="8" t="s">
        <v>1202</v>
      </c>
      <c r="H27" s="8" t="s">
        <v>575</v>
      </c>
      <c r="I27" s="8" t="s">
        <v>559</v>
      </c>
      <c r="J27" s="8" t="s">
        <v>1137</v>
      </c>
      <c r="K27" s="8" t="s">
        <v>628</v>
      </c>
      <c r="L27" s="8" t="s">
        <v>561</v>
      </c>
    </row>
    <row r="28" customFormat="false" ht="23.85" hidden="false" customHeight="false" outlineLevel="0" collapsed="false">
      <c r="A28" s="8" t="s">
        <v>1128</v>
      </c>
      <c r="B28" s="8" t="s">
        <v>629</v>
      </c>
      <c r="C28" s="8" t="s">
        <v>574</v>
      </c>
      <c r="D28" s="8" t="s">
        <v>1203</v>
      </c>
      <c r="E28" s="8" t="s">
        <v>570</v>
      </c>
      <c r="F28" s="8" t="s">
        <v>557</v>
      </c>
      <c r="G28" s="8" t="s">
        <v>1197</v>
      </c>
      <c r="H28" s="8" t="s">
        <v>631</v>
      </c>
      <c r="I28" s="8" t="s">
        <v>559</v>
      </c>
      <c r="J28" s="8" t="s">
        <v>1137</v>
      </c>
      <c r="K28" s="8" t="s">
        <v>630</v>
      </c>
      <c r="L28" s="8" t="s">
        <v>561</v>
      </c>
    </row>
    <row r="29" customFormat="false" ht="23.85" hidden="false" customHeight="false" outlineLevel="0" collapsed="false">
      <c r="A29" s="8" t="s">
        <v>1128</v>
      </c>
      <c r="B29" s="8" t="s">
        <v>632</v>
      </c>
      <c r="C29" s="8" t="s">
        <v>574</v>
      </c>
      <c r="D29" s="8" t="s">
        <v>633</v>
      </c>
      <c r="E29" s="8" t="s">
        <v>1204</v>
      </c>
      <c r="F29" s="8" t="s">
        <v>557</v>
      </c>
      <c r="G29" s="8" t="s">
        <v>1205</v>
      </c>
      <c r="H29" s="8" t="s">
        <v>575</v>
      </c>
      <c r="I29" s="8" t="s">
        <v>559</v>
      </c>
      <c r="J29" s="8" t="s">
        <v>1132</v>
      </c>
      <c r="K29" s="8" t="s">
        <v>1206</v>
      </c>
      <c r="L29" s="8" t="s">
        <v>561</v>
      </c>
    </row>
    <row r="30" customFormat="false" ht="23.85" hidden="false" customHeight="false" outlineLevel="0" collapsed="false">
      <c r="A30" s="8" t="s">
        <v>1128</v>
      </c>
      <c r="B30" s="8" t="s">
        <v>634</v>
      </c>
      <c r="C30" s="8" t="s">
        <v>574</v>
      </c>
      <c r="D30" s="8" t="s">
        <v>1207</v>
      </c>
      <c r="E30" s="8" t="s">
        <v>1208</v>
      </c>
      <c r="F30" s="8" t="s">
        <v>557</v>
      </c>
      <c r="G30" s="8" t="s">
        <v>1208</v>
      </c>
      <c r="H30" s="8" t="s">
        <v>575</v>
      </c>
      <c r="I30" s="8" t="s">
        <v>559</v>
      </c>
      <c r="J30" s="8" t="s">
        <v>1132</v>
      </c>
      <c r="K30" s="8" t="s">
        <v>577</v>
      </c>
      <c r="L30" s="8" t="s">
        <v>561</v>
      </c>
    </row>
    <row r="31" customFormat="false" ht="23.85" hidden="false" customHeight="false" outlineLevel="0" collapsed="false">
      <c r="A31" s="8" t="s">
        <v>1209</v>
      </c>
      <c r="B31" s="8" t="s">
        <v>1210</v>
      </c>
      <c r="C31" s="8" t="s">
        <v>556</v>
      </c>
      <c r="D31" s="8" t="s">
        <v>1211</v>
      </c>
      <c r="E31" s="8" t="s">
        <v>1212</v>
      </c>
      <c r="F31" s="8" t="s">
        <v>557</v>
      </c>
      <c r="G31" s="8" t="s">
        <v>15</v>
      </c>
      <c r="H31" s="8" t="s">
        <v>1213</v>
      </c>
      <c r="I31" s="8" t="s">
        <v>1214</v>
      </c>
      <c r="J31" s="8" t="s">
        <v>1132</v>
      </c>
      <c r="K31" s="8" t="s">
        <v>1215</v>
      </c>
      <c r="L31" s="8" t="s">
        <v>115</v>
      </c>
    </row>
    <row r="32" customFormat="false" ht="23.85" hidden="false" customHeight="false" outlineLevel="0" collapsed="false">
      <c r="A32" s="8" t="s">
        <v>1209</v>
      </c>
      <c r="B32" s="8" t="s">
        <v>555</v>
      </c>
      <c r="C32" s="8" t="s">
        <v>556</v>
      </c>
      <c r="D32" s="8" t="s">
        <v>1216</v>
      </c>
      <c r="E32" s="8" t="s">
        <v>1130</v>
      </c>
      <c r="F32" s="8" t="s">
        <v>557</v>
      </c>
      <c r="G32" s="8" t="s">
        <v>15</v>
      </c>
      <c r="H32" s="8" t="s">
        <v>1217</v>
      </c>
      <c r="I32" s="8" t="s">
        <v>1214</v>
      </c>
      <c r="J32" s="8" t="s">
        <v>1132</v>
      </c>
      <c r="K32" s="8" t="s">
        <v>1218</v>
      </c>
      <c r="L32" s="8" t="s">
        <v>115</v>
      </c>
    </row>
    <row r="33" customFormat="false" ht="23.85" hidden="false" customHeight="false" outlineLevel="0" collapsed="false">
      <c r="A33" s="8" t="s">
        <v>1209</v>
      </c>
      <c r="B33" s="8" t="s">
        <v>1219</v>
      </c>
      <c r="C33" s="8" t="s">
        <v>574</v>
      </c>
      <c r="D33" s="8" t="s">
        <v>1220</v>
      </c>
      <c r="E33" s="8" t="s">
        <v>1171</v>
      </c>
      <c r="F33" s="8" t="s">
        <v>557</v>
      </c>
      <c r="G33" s="8" t="s">
        <v>1221</v>
      </c>
      <c r="H33" s="8" t="s">
        <v>1222</v>
      </c>
      <c r="I33" s="8" t="s">
        <v>1214</v>
      </c>
      <c r="J33" s="8" t="s">
        <v>1132</v>
      </c>
      <c r="K33" s="8" t="s">
        <v>1223</v>
      </c>
      <c r="L33" s="8" t="s">
        <v>115</v>
      </c>
    </row>
    <row r="34" customFormat="false" ht="23.85" hidden="false" customHeight="false" outlineLevel="0" collapsed="false">
      <c r="A34" s="8" t="s">
        <v>1209</v>
      </c>
      <c r="B34" s="8" t="s">
        <v>1224</v>
      </c>
      <c r="C34" s="8" t="s">
        <v>574</v>
      </c>
      <c r="D34" s="8" t="s">
        <v>1225</v>
      </c>
      <c r="E34" s="8" t="s">
        <v>1226</v>
      </c>
      <c r="F34" s="8" t="s">
        <v>557</v>
      </c>
      <c r="G34" s="8" t="s">
        <v>1221</v>
      </c>
      <c r="H34" s="8" t="s">
        <v>1227</v>
      </c>
      <c r="I34" s="8" t="s">
        <v>1214</v>
      </c>
      <c r="J34" s="8" t="s">
        <v>1132</v>
      </c>
      <c r="K34" s="8" t="s">
        <v>1223</v>
      </c>
      <c r="L34" s="8" t="s">
        <v>115</v>
      </c>
    </row>
    <row r="35" customFormat="false" ht="23.85" hidden="false" customHeight="false" outlineLevel="0" collapsed="false">
      <c r="A35" s="8" t="s">
        <v>1209</v>
      </c>
      <c r="B35" s="8" t="s">
        <v>1228</v>
      </c>
      <c r="C35" s="8" t="s">
        <v>1229</v>
      </c>
      <c r="D35" s="8" t="s">
        <v>1230</v>
      </c>
      <c r="E35" s="8" t="s">
        <v>1231</v>
      </c>
      <c r="F35" s="8" t="s">
        <v>557</v>
      </c>
      <c r="G35" s="8" t="s">
        <v>15</v>
      </c>
      <c r="H35" s="8" t="s">
        <v>1232</v>
      </c>
      <c r="I35" s="8" t="s">
        <v>1214</v>
      </c>
      <c r="J35" s="8" t="s">
        <v>1132</v>
      </c>
      <c r="K35" s="8" t="s">
        <v>1233</v>
      </c>
      <c r="L35" s="8" t="s">
        <v>115</v>
      </c>
    </row>
    <row r="36" customFormat="false" ht="23.85" hidden="false" customHeight="false" outlineLevel="0" collapsed="false">
      <c r="A36" s="8" t="s">
        <v>1209</v>
      </c>
      <c r="B36" s="8" t="s">
        <v>1234</v>
      </c>
      <c r="C36" s="8" t="s">
        <v>574</v>
      </c>
      <c r="D36" s="8" t="s">
        <v>1235</v>
      </c>
      <c r="E36" s="8" t="s">
        <v>1236</v>
      </c>
      <c r="F36" s="8" t="s">
        <v>570</v>
      </c>
      <c r="G36" s="8" t="s">
        <v>1237</v>
      </c>
      <c r="H36" s="8" t="s">
        <v>1238</v>
      </c>
      <c r="I36" s="8" t="s">
        <v>1214</v>
      </c>
      <c r="J36" s="8" t="s">
        <v>1132</v>
      </c>
      <c r="K36" s="8" t="s">
        <v>1239</v>
      </c>
      <c r="L36" s="8" t="s">
        <v>115</v>
      </c>
    </row>
    <row r="37" customFormat="false" ht="15" hidden="false" customHeight="false" outlineLevel="0" collapsed="false">
      <c r="A37" s="8" t="s">
        <v>1240</v>
      </c>
      <c r="B37" s="8" t="s">
        <v>647</v>
      </c>
      <c r="C37" s="8" t="s">
        <v>556</v>
      </c>
      <c r="D37" s="8" t="s">
        <v>1241</v>
      </c>
      <c r="E37" s="8" t="s">
        <v>1242</v>
      </c>
      <c r="F37" s="8" t="s">
        <v>557</v>
      </c>
      <c r="G37" s="8" t="s">
        <v>15</v>
      </c>
      <c r="H37" s="8" t="s">
        <v>1213</v>
      </c>
      <c r="I37" s="8" t="s">
        <v>1214</v>
      </c>
      <c r="J37" s="8" t="s">
        <v>1132</v>
      </c>
      <c r="K37" s="8" t="s">
        <v>1243</v>
      </c>
      <c r="L37" s="8" t="s">
        <v>115</v>
      </c>
    </row>
    <row r="38" customFormat="false" ht="15" hidden="false" customHeight="false" outlineLevel="0" collapsed="false">
      <c r="A38" s="8" t="s">
        <v>1240</v>
      </c>
      <c r="B38" s="8" t="s">
        <v>555</v>
      </c>
      <c r="C38" s="8" t="s">
        <v>556</v>
      </c>
      <c r="D38" s="8" t="s">
        <v>1244</v>
      </c>
      <c r="E38" s="8" t="s">
        <v>1130</v>
      </c>
      <c r="F38" s="8" t="s">
        <v>557</v>
      </c>
      <c r="G38" s="8" t="s">
        <v>15</v>
      </c>
      <c r="H38" s="8" t="s">
        <v>1217</v>
      </c>
      <c r="I38" s="8" t="s">
        <v>1214</v>
      </c>
      <c r="J38" s="8" t="s">
        <v>1132</v>
      </c>
      <c r="K38" s="8" t="s">
        <v>1218</v>
      </c>
      <c r="L38" s="8" t="s">
        <v>115</v>
      </c>
    </row>
    <row r="39" customFormat="false" ht="15" hidden="false" customHeight="false" outlineLevel="0" collapsed="false">
      <c r="A39" s="8" t="s">
        <v>1240</v>
      </c>
      <c r="B39" s="8" t="s">
        <v>1245</v>
      </c>
      <c r="C39" s="8" t="s">
        <v>1229</v>
      </c>
      <c r="D39" s="8" t="s">
        <v>1246</v>
      </c>
      <c r="E39" s="8" t="s">
        <v>1247</v>
      </c>
      <c r="F39" s="8" t="s">
        <v>557</v>
      </c>
      <c r="G39" s="8" t="s">
        <v>15</v>
      </c>
      <c r="H39" s="8" t="s">
        <v>1248</v>
      </c>
      <c r="I39" s="8" t="s">
        <v>1214</v>
      </c>
      <c r="J39" s="8" t="s">
        <v>1132</v>
      </c>
      <c r="K39" s="8" t="s">
        <v>1249</v>
      </c>
      <c r="L39" s="8" t="s">
        <v>115</v>
      </c>
    </row>
    <row r="40" customFormat="false" ht="15" hidden="false" customHeight="false" outlineLevel="0" collapsed="false">
      <c r="A40" s="8" t="s">
        <v>1240</v>
      </c>
      <c r="B40" s="8" t="s">
        <v>1250</v>
      </c>
      <c r="C40" s="8" t="s">
        <v>1229</v>
      </c>
      <c r="D40" s="8" t="s">
        <v>1251</v>
      </c>
      <c r="E40" s="8" t="s">
        <v>1252</v>
      </c>
      <c r="F40" s="8" t="s">
        <v>589</v>
      </c>
      <c r="G40" s="8" t="s">
        <v>15</v>
      </c>
      <c r="H40" s="8" t="s">
        <v>1253</v>
      </c>
      <c r="I40" s="8" t="s">
        <v>1214</v>
      </c>
      <c r="J40" s="8" t="s">
        <v>1132</v>
      </c>
      <c r="K40" s="8" t="s">
        <v>1254</v>
      </c>
      <c r="L40" s="8" t="s">
        <v>115</v>
      </c>
    </row>
    <row r="41" customFormat="false" ht="15" hidden="false" customHeight="false" outlineLevel="0" collapsed="false">
      <c r="A41" s="8" t="s">
        <v>1240</v>
      </c>
      <c r="B41" s="8" t="s">
        <v>1052</v>
      </c>
      <c r="C41" s="8" t="s">
        <v>574</v>
      </c>
      <c r="D41" s="8" t="s">
        <v>1255</v>
      </c>
      <c r="E41" s="8" t="s">
        <v>1165</v>
      </c>
      <c r="F41" s="8" t="s">
        <v>557</v>
      </c>
      <c r="G41" s="8" t="s">
        <v>1256</v>
      </c>
      <c r="H41" s="8" t="s">
        <v>1222</v>
      </c>
      <c r="I41" s="8" t="s">
        <v>1214</v>
      </c>
      <c r="J41" s="8" t="s">
        <v>1132</v>
      </c>
      <c r="K41" s="8" t="s">
        <v>1167</v>
      </c>
      <c r="L41" s="8" t="s">
        <v>115</v>
      </c>
    </row>
    <row r="42" customFormat="false" ht="15" hidden="false" customHeight="false" outlineLevel="0" collapsed="false">
      <c r="A42" s="8" t="s">
        <v>1240</v>
      </c>
      <c r="B42" s="8" t="s">
        <v>594</v>
      </c>
      <c r="C42" s="8" t="s">
        <v>574</v>
      </c>
      <c r="D42" s="8" t="s">
        <v>1168</v>
      </c>
      <c r="E42" s="8" t="s">
        <v>1169</v>
      </c>
      <c r="F42" s="8" t="s">
        <v>557</v>
      </c>
      <c r="G42" s="8" t="s">
        <v>1257</v>
      </c>
      <c r="H42" s="8" t="s">
        <v>1222</v>
      </c>
      <c r="I42" s="8" t="s">
        <v>1214</v>
      </c>
      <c r="J42" s="8" t="s">
        <v>1132</v>
      </c>
      <c r="K42" s="8" t="s">
        <v>595</v>
      </c>
      <c r="L42" s="8" t="s">
        <v>115</v>
      </c>
    </row>
    <row r="43" customFormat="false" ht="15" hidden="false" customHeight="false" outlineLevel="0" collapsed="false">
      <c r="A43" s="8" t="s">
        <v>1240</v>
      </c>
      <c r="B43" s="8" t="s">
        <v>1258</v>
      </c>
      <c r="C43" s="8" t="s">
        <v>574</v>
      </c>
      <c r="D43" s="8" t="s">
        <v>1259</v>
      </c>
      <c r="E43" s="8" t="s">
        <v>1260</v>
      </c>
      <c r="F43" s="8" t="s">
        <v>570</v>
      </c>
      <c r="G43" s="8" t="s">
        <v>1222</v>
      </c>
      <c r="H43" s="8" t="s">
        <v>15</v>
      </c>
      <c r="I43" s="8" t="s">
        <v>1214</v>
      </c>
      <c r="J43" s="8" t="s">
        <v>1132</v>
      </c>
      <c r="K43" s="8" t="s">
        <v>1261</v>
      </c>
      <c r="L43" s="8" t="s">
        <v>115</v>
      </c>
    </row>
    <row r="44" customFormat="false" ht="15" hidden="false" customHeight="false" outlineLevel="0" collapsed="false">
      <c r="A44" s="8" t="s">
        <v>1240</v>
      </c>
      <c r="B44" s="8" t="s">
        <v>1262</v>
      </c>
      <c r="C44" s="8" t="s">
        <v>574</v>
      </c>
      <c r="D44" s="8" t="s">
        <v>1263</v>
      </c>
      <c r="E44" s="8" t="s">
        <v>1179</v>
      </c>
      <c r="F44" s="8" t="s">
        <v>557</v>
      </c>
      <c r="G44" s="8" t="s">
        <v>1264</v>
      </c>
      <c r="H44" s="8" t="s">
        <v>1222</v>
      </c>
      <c r="I44" s="8" t="s">
        <v>1214</v>
      </c>
      <c r="J44" s="8" t="s">
        <v>1132</v>
      </c>
      <c r="K44" s="8" t="s">
        <v>1265</v>
      </c>
      <c r="L44" s="8" t="s">
        <v>115</v>
      </c>
    </row>
    <row r="45" customFormat="false" ht="15" hidden="false" customHeight="false" outlineLevel="0" collapsed="false">
      <c r="A45" s="8" t="s">
        <v>293</v>
      </c>
      <c r="B45" s="8" t="s">
        <v>1059</v>
      </c>
      <c r="C45" s="8" t="s">
        <v>556</v>
      </c>
      <c r="D45" s="8" t="s">
        <v>1266</v>
      </c>
      <c r="E45" s="8" t="s">
        <v>1267</v>
      </c>
      <c r="F45" s="8" t="s">
        <v>557</v>
      </c>
      <c r="G45" s="8" t="s">
        <v>15</v>
      </c>
      <c r="H45" s="8" t="s">
        <v>1213</v>
      </c>
      <c r="I45" s="8" t="s">
        <v>1214</v>
      </c>
      <c r="J45" s="8" t="s">
        <v>1132</v>
      </c>
      <c r="K45" s="8" t="s">
        <v>1268</v>
      </c>
      <c r="L45" s="8" t="s">
        <v>115</v>
      </c>
    </row>
    <row r="46" customFormat="false" ht="15" hidden="false" customHeight="false" outlineLevel="0" collapsed="false">
      <c r="A46" s="8" t="s">
        <v>293</v>
      </c>
      <c r="B46" s="8" t="s">
        <v>1060</v>
      </c>
      <c r="C46" s="8" t="s">
        <v>574</v>
      </c>
      <c r="D46" s="8" t="s">
        <v>1269</v>
      </c>
      <c r="E46" s="8" t="s">
        <v>1270</v>
      </c>
      <c r="F46" s="8" t="s">
        <v>557</v>
      </c>
      <c r="G46" s="8" t="s">
        <v>1222</v>
      </c>
      <c r="H46" s="8" t="s">
        <v>1271</v>
      </c>
      <c r="I46" s="8" t="s">
        <v>1214</v>
      </c>
      <c r="J46" s="8" t="s">
        <v>1132</v>
      </c>
      <c r="K46" s="8" t="s">
        <v>1272</v>
      </c>
      <c r="L46" s="8" t="s">
        <v>115</v>
      </c>
    </row>
    <row r="47" customFormat="false" ht="15" hidden="false" customHeight="false" outlineLevel="0" collapsed="false">
      <c r="A47" s="8" t="s">
        <v>293</v>
      </c>
      <c r="B47" s="8" t="s">
        <v>1061</v>
      </c>
      <c r="C47" s="8" t="s">
        <v>574</v>
      </c>
      <c r="D47" s="8" t="s">
        <v>1273</v>
      </c>
      <c r="E47" s="8" t="s">
        <v>319</v>
      </c>
      <c r="F47" s="8" t="s">
        <v>557</v>
      </c>
      <c r="G47" s="8" t="s">
        <v>1274</v>
      </c>
      <c r="H47" s="8" t="s">
        <v>1271</v>
      </c>
      <c r="I47" s="8" t="s">
        <v>1214</v>
      </c>
      <c r="J47" s="8" t="s">
        <v>1132</v>
      </c>
      <c r="K47" s="8" t="s">
        <v>1275</v>
      </c>
      <c r="L47" s="8" t="s">
        <v>115</v>
      </c>
    </row>
    <row r="48" customFormat="false" ht="15" hidden="false" customHeight="false" outlineLevel="0" collapsed="false">
      <c r="A48" s="8" t="s">
        <v>293</v>
      </c>
      <c r="B48" s="8" t="s">
        <v>1276</v>
      </c>
      <c r="C48" s="8" t="s">
        <v>1277</v>
      </c>
      <c r="D48" s="8" t="s">
        <v>1278</v>
      </c>
      <c r="E48" s="8" t="s">
        <v>1279</v>
      </c>
      <c r="F48" s="8" t="s">
        <v>557</v>
      </c>
      <c r="G48" s="8" t="s">
        <v>1280</v>
      </c>
      <c r="H48" s="8" t="s">
        <v>1281</v>
      </c>
      <c r="I48" s="8" t="s">
        <v>1214</v>
      </c>
      <c r="J48" s="8" t="s">
        <v>1132</v>
      </c>
      <c r="K48" s="8" t="s">
        <v>1282</v>
      </c>
      <c r="L48" s="8" t="s">
        <v>115</v>
      </c>
    </row>
    <row r="49" customFormat="false" ht="15" hidden="false" customHeight="false" outlineLevel="0" collapsed="false">
      <c r="A49" s="8" t="s">
        <v>293</v>
      </c>
      <c r="B49" s="8" t="s">
        <v>1065</v>
      </c>
      <c r="C49" s="8" t="s">
        <v>574</v>
      </c>
      <c r="D49" s="8" t="s">
        <v>1283</v>
      </c>
      <c r="E49" s="8" t="s">
        <v>1171</v>
      </c>
      <c r="F49" s="8" t="s">
        <v>557</v>
      </c>
      <c r="G49" s="8" t="s">
        <v>1284</v>
      </c>
      <c r="H49" s="8" t="s">
        <v>1271</v>
      </c>
      <c r="I49" s="8" t="s">
        <v>1214</v>
      </c>
      <c r="J49" s="8" t="s">
        <v>1132</v>
      </c>
      <c r="K49" s="8" t="s">
        <v>1285</v>
      </c>
      <c r="L49" s="8" t="s">
        <v>115</v>
      </c>
    </row>
    <row r="50" customFormat="false" ht="23.85" hidden="false" customHeight="false" outlineLevel="0" collapsed="false">
      <c r="A50" s="8" t="s">
        <v>1286</v>
      </c>
      <c r="B50" s="8" t="s">
        <v>655</v>
      </c>
      <c r="C50" s="8" t="s">
        <v>556</v>
      </c>
      <c r="D50" s="8" t="s">
        <v>1287</v>
      </c>
      <c r="E50" s="8" t="s">
        <v>1288</v>
      </c>
      <c r="F50" s="8" t="s">
        <v>557</v>
      </c>
      <c r="G50" s="8" t="s">
        <v>15</v>
      </c>
      <c r="H50" s="8" t="s">
        <v>1213</v>
      </c>
      <c r="I50" s="8" t="s">
        <v>1289</v>
      </c>
      <c r="J50" s="8" t="s">
        <v>1132</v>
      </c>
      <c r="K50" s="8" t="s">
        <v>1290</v>
      </c>
      <c r="L50" s="8" t="s">
        <v>561</v>
      </c>
    </row>
    <row r="51" customFormat="false" ht="23.85" hidden="false" customHeight="false" outlineLevel="0" collapsed="false">
      <c r="A51" s="8" t="s">
        <v>1286</v>
      </c>
      <c r="B51" s="8" t="s">
        <v>555</v>
      </c>
      <c r="C51" s="8" t="s">
        <v>556</v>
      </c>
      <c r="D51" s="8" t="s">
        <v>1291</v>
      </c>
      <c r="E51" s="8" t="s">
        <v>1292</v>
      </c>
      <c r="F51" s="8" t="s">
        <v>557</v>
      </c>
      <c r="G51" s="8" t="s">
        <v>15</v>
      </c>
      <c r="H51" s="8" t="s">
        <v>1217</v>
      </c>
      <c r="I51" s="8" t="s">
        <v>1293</v>
      </c>
      <c r="J51" s="8" t="s">
        <v>1132</v>
      </c>
      <c r="K51" s="8" t="s">
        <v>1218</v>
      </c>
      <c r="L51" s="8" t="s">
        <v>561</v>
      </c>
    </row>
    <row r="52" customFormat="false" ht="23.85" hidden="false" customHeight="false" outlineLevel="0" collapsed="false">
      <c r="A52" s="8" t="s">
        <v>1286</v>
      </c>
      <c r="B52" s="8" t="s">
        <v>1059</v>
      </c>
      <c r="C52" s="8" t="s">
        <v>556</v>
      </c>
      <c r="D52" s="8" t="s">
        <v>1294</v>
      </c>
      <c r="E52" s="8" t="s">
        <v>1267</v>
      </c>
      <c r="F52" s="8" t="s">
        <v>557</v>
      </c>
      <c r="G52" s="8" t="s">
        <v>15</v>
      </c>
      <c r="H52" s="8" t="s">
        <v>1295</v>
      </c>
      <c r="I52" s="8" t="s">
        <v>1293</v>
      </c>
      <c r="J52" s="8" t="s">
        <v>1132</v>
      </c>
      <c r="K52" s="8" t="s">
        <v>1218</v>
      </c>
      <c r="L52" s="8" t="s">
        <v>561</v>
      </c>
    </row>
    <row r="53" customFormat="false" ht="23.85" hidden="false" customHeight="false" outlineLevel="0" collapsed="false">
      <c r="A53" s="8" t="s">
        <v>1286</v>
      </c>
      <c r="B53" s="8" t="s">
        <v>647</v>
      </c>
      <c r="C53" s="8" t="s">
        <v>556</v>
      </c>
      <c r="D53" s="8" t="s">
        <v>1296</v>
      </c>
      <c r="E53" s="8" t="s">
        <v>1297</v>
      </c>
      <c r="F53" s="8" t="s">
        <v>589</v>
      </c>
      <c r="G53" s="8" t="s">
        <v>15</v>
      </c>
      <c r="H53" s="8" t="s">
        <v>1298</v>
      </c>
      <c r="I53" s="8" t="s">
        <v>1293</v>
      </c>
      <c r="J53" s="8" t="s">
        <v>1132</v>
      </c>
      <c r="K53" s="8" t="s">
        <v>1299</v>
      </c>
      <c r="L53" s="8" t="s">
        <v>561</v>
      </c>
    </row>
    <row r="54" customFormat="false" ht="23.85" hidden="false" customHeight="false" outlineLevel="0" collapsed="false">
      <c r="A54" s="8" t="s">
        <v>1286</v>
      </c>
      <c r="B54" s="8" t="s">
        <v>1300</v>
      </c>
      <c r="C54" s="8" t="s">
        <v>583</v>
      </c>
      <c r="D54" s="8" t="s">
        <v>1301</v>
      </c>
      <c r="E54" s="8" t="s">
        <v>1302</v>
      </c>
      <c r="F54" s="8" t="s">
        <v>570</v>
      </c>
      <c r="G54" s="8" t="s">
        <v>15</v>
      </c>
      <c r="H54" s="8" t="s">
        <v>1303</v>
      </c>
      <c r="I54" s="8" t="s">
        <v>1293</v>
      </c>
      <c r="J54" s="8" t="s">
        <v>1132</v>
      </c>
      <c r="K54" s="8" t="s">
        <v>1299</v>
      </c>
      <c r="L54" s="8" t="s">
        <v>561</v>
      </c>
    </row>
    <row r="55" customFormat="false" ht="23.85" hidden="false" customHeight="false" outlineLevel="0" collapsed="false">
      <c r="A55" s="8" t="s">
        <v>1286</v>
      </c>
      <c r="B55" s="8" t="s">
        <v>1304</v>
      </c>
      <c r="C55" s="8" t="s">
        <v>583</v>
      </c>
      <c r="D55" s="8" t="s">
        <v>1305</v>
      </c>
      <c r="E55" s="8" t="s">
        <v>1306</v>
      </c>
      <c r="F55" s="8" t="s">
        <v>557</v>
      </c>
      <c r="G55" s="8" t="s">
        <v>15</v>
      </c>
      <c r="H55" s="8" t="s">
        <v>1307</v>
      </c>
      <c r="I55" s="8" t="s">
        <v>1293</v>
      </c>
      <c r="J55" s="8" t="s">
        <v>1132</v>
      </c>
      <c r="K55" s="8" t="s">
        <v>1299</v>
      </c>
      <c r="L55" s="8" t="s">
        <v>561</v>
      </c>
    </row>
    <row r="56" customFormat="false" ht="23.85" hidden="false" customHeight="false" outlineLevel="0" collapsed="false">
      <c r="A56" s="8" t="s">
        <v>1286</v>
      </c>
      <c r="B56" s="8" t="s">
        <v>1308</v>
      </c>
      <c r="C56" s="8" t="s">
        <v>583</v>
      </c>
      <c r="D56" s="8" t="s">
        <v>1309</v>
      </c>
      <c r="E56" s="8" t="s">
        <v>1310</v>
      </c>
      <c r="F56" s="8" t="s">
        <v>589</v>
      </c>
      <c r="G56" s="8" t="s">
        <v>15</v>
      </c>
      <c r="H56" s="8" t="s">
        <v>1311</v>
      </c>
      <c r="I56" s="8" t="s">
        <v>1293</v>
      </c>
      <c r="J56" s="8" t="s">
        <v>1132</v>
      </c>
      <c r="K56" s="8" t="s">
        <v>1312</v>
      </c>
      <c r="L56" s="8" t="s">
        <v>561</v>
      </c>
    </row>
    <row r="57" customFormat="false" ht="23.85" hidden="false" customHeight="false" outlineLevel="0" collapsed="false">
      <c r="A57" s="8" t="s">
        <v>1286</v>
      </c>
      <c r="B57" s="8" t="s">
        <v>1065</v>
      </c>
      <c r="C57" s="8" t="s">
        <v>574</v>
      </c>
      <c r="D57" s="8" t="s">
        <v>1313</v>
      </c>
      <c r="E57" s="8" t="s">
        <v>1179</v>
      </c>
      <c r="F57" s="8" t="s">
        <v>557</v>
      </c>
      <c r="G57" s="8" t="s">
        <v>1314</v>
      </c>
      <c r="H57" s="8" t="s">
        <v>1271</v>
      </c>
      <c r="I57" s="8" t="s">
        <v>1293</v>
      </c>
      <c r="J57" s="8" t="s">
        <v>1132</v>
      </c>
      <c r="K57" s="8" t="s">
        <v>1315</v>
      </c>
      <c r="L57" s="8" t="s">
        <v>561</v>
      </c>
    </row>
    <row r="58" customFormat="false" ht="46.25" hidden="false" customHeight="false" outlineLevel="0" collapsed="false">
      <c r="A58" s="8" t="s">
        <v>1286</v>
      </c>
      <c r="B58" s="8" t="s">
        <v>1074</v>
      </c>
      <c r="C58" s="8" t="s">
        <v>574</v>
      </c>
      <c r="D58" s="8" t="s">
        <v>1316</v>
      </c>
      <c r="E58" s="8" t="s">
        <v>1317</v>
      </c>
      <c r="F58" s="8" t="s">
        <v>589</v>
      </c>
      <c r="G58" s="8" t="s">
        <v>1318</v>
      </c>
      <c r="H58" s="8" t="s">
        <v>1319</v>
      </c>
      <c r="I58" s="8" t="s">
        <v>1320</v>
      </c>
      <c r="J58" s="8" t="s">
        <v>1132</v>
      </c>
      <c r="K58" s="8" t="s">
        <v>791</v>
      </c>
      <c r="L58" s="8" t="s">
        <v>115</v>
      </c>
    </row>
    <row r="59" customFormat="false" ht="15" hidden="false" customHeight="false" outlineLevel="0" collapsed="false">
      <c r="A59" s="8" t="s">
        <v>1286</v>
      </c>
      <c r="B59" s="8" t="s">
        <v>1067</v>
      </c>
      <c r="C59" s="8" t="s">
        <v>574</v>
      </c>
      <c r="D59" s="8" t="s">
        <v>1321</v>
      </c>
      <c r="E59" s="8" t="s">
        <v>1322</v>
      </c>
      <c r="F59" s="8" t="s">
        <v>557</v>
      </c>
      <c r="G59" s="8" t="s">
        <v>1323</v>
      </c>
      <c r="H59" s="8" t="s">
        <v>1271</v>
      </c>
      <c r="I59" s="8" t="s">
        <v>1214</v>
      </c>
      <c r="J59" s="8" t="s">
        <v>1132</v>
      </c>
      <c r="K59" s="8" t="s">
        <v>1324</v>
      </c>
      <c r="L59" s="8" t="s">
        <v>115</v>
      </c>
    </row>
    <row r="60" customFormat="false" ht="23.85" hidden="false" customHeight="false" outlineLevel="0" collapsed="false">
      <c r="A60" s="8" t="s">
        <v>1286</v>
      </c>
      <c r="B60" s="8" t="s">
        <v>1325</v>
      </c>
      <c r="C60" s="8" t="s">
        <v>574</v>
      </c>
      <c r="D60" s="8" t="s">
        <v>1326</v>
      </c>
      <c r="E60" s="8" t="s">
        <v>1327</v>
      </c>
      <c r="F60" s="8" t="s">
        <v>557</v>
      </c>
      <c r="G60" s="8" t="s">
        <v>1328</v>
      </c>
      <c r="H60" s="8" t="s">
        <v>1329</v>
      </c>
      <c r="I60" s="8" t="s">
        <v>1293</v>
      </c>
      <c r="J60" s="8" t="s">
        <v>1132</v>
      </c>
      <c r="K60" s="8" t="s">
        <v>1330</v>
      </c>
      <c r="L60" s="8" t="s">
        <v>561</v>
      </c>
    </row>
    <row r="61" customFormat="false" ht="15" hidden="false" customHeight="false" outlineLevel="0" collapsed="false">
      <c r="A61" s="8" t="s">
        <v>330</v>
      </c>
      <c r="B61" s="8" t="s">
        <v>659</v>
      </c>
      <c r="C61" s="8" t="s">
        <v>556</v>
      </c>
      <c r="D61" s="8" t="s">
        <v>1331</v>
      </c>
      <c r="E61" s="8" t="s">
        <v>1332</v>
      </c>
      <c r="F61" s="8" t="s">
        <v>557</v>
      </c>
      <c r="G61" s="8" t="s">
        <v>15</v>
      </c>
      <c r="H61" s="8" t="s">
        <v>1213</v>
      </c>
      <c r="I61" s="8" t="s">
        <v>1214</v>
      </c>
      <c r="J61" s="8" t="s">
        <v>1132</v>
      </c>
      <c r="K61" s="8" t="s">
        <v>1290</v>
      </c>
      <c r="L61" s="8" t="s">
        <v>115</v>
      </c>
    </row>
    <row r="62" customFormat="false" ht="15" hidden="false" customHeight="false" outlineLevel="0" collapsed="false">
      <c r="A62" s="8" t="s">
        <v>330</v>
      </c>
      <c r="B62" s="8" t="s">
        <v>555</v>
      </c>
      <c r="C62" s="8" t="s">
        <v>556</v>
      </c>
      <c r="D62" s="8" t="s">
        <v>1333</v>
      </c>
      <c r="E62" s="8" t="s">
        <v>1130</v>
      </c>
      <c r="F62" s="8" t="s">
        <v>557</v>
      </c>
      <c r="G62" s="8" t="s">
        <v>15</v>
      </c>
      <c r="H62" s="8" t="s">
        <v>1217</v>
      </c>
      <c r="I62" s="8" t="s">
        <v>1214</v>
      </c>
      <c r="J62" s="8" t="s">
        <v>1132</v>
      </c>
      <c r="K62" s="8" t="s">
        <v>1218</v>
      </c>
      <c r="L62" s="8" t="s">
        <v>115</v>
      </c>
    </row>
    <row r="63" customFormat="false" ht="23.85" hidden="false" customHeight="false" outlineLevel="0" collapsed="false">
      <c r="A63" s="8" t="s">
        <v>330</v>
      </c>
      <c r="B63" s="8" t="s">
        <v>1081</v>
      </c>
      <c r="C63" s="8" t="s">
        <v>574</v>
      </c>
      <c r="D63" s="8" t="s">
        <v>1334</v>
      </c>
      <c r="E63" s="8" t="s">
        <v>1335</v>
      </c>
      <c r="F63" s="8" t="s">
        <v>557</v>
      </c>
      <c r="G63" s="8" t="s">
        <v>1336</v>
      </c>
      <c r="H63" s="8" t="s">
        <v>1222</v>
      </c>
      <c r="I63" s="8" t="s">
        <v>1214</v>
      </c>
      <c r="J63" s="8" t="s">
        <v>1132</v>
      </c>
      <c r="K63" s="8" t="s">
        <v>1337</v>
      </c>
      <c r="L63" s="8" t="s">
        <v>115</v>
      </c>
    </row>
    <row r="64" customFormat="false" ht="15" hidden="false" customHeight="false" outlineLevel="0" collapsed="false">
      <c r="A64" s="8" t="s">
        <v>330</v>
      </c>
      <c r="B64" s="8" t="s">
        <v>1082</v>
      </c>
      <c r="C64" s="8" t="s">
        <v>556</v>
      </c>
      <c r="D64" s="8" t="s">
        <v>1338</v>
      </c>
      <c r="E64" s="8" t="s">
        <v>1339</v>
      </c>
      <c r="F64" s="8" t="s">
        <v>557</v>
      </c>
      <c r="G64" s="8" t="s">
        <v>15</v>
      </c>
      <c r="H64" s="8" t="s">
        <v>1340</v>
      </c>
      <c r="I64" s="8" t="s">
        <v>1214</v>
      </c>
      <c r="J64" s="8" t="s">
        <v>1132</v>
      </c>
      <c r="K64" s="8" t="s">
        <v>1341</v>
      </c>
      <c r="L64" s="8" t="s">
        <v>115</v>
      </c>
    </row>
    <row r="65" customFormat="false" ht="15" hidden="false" customHeight="false" outlineLevel="0" collapsed="false">
      <c r="A65" s="8" t="s">
        <v>330</v>
      </c>
      <c r="B65" s="8" t="s">
        <v>1083</v>
      </c>
      <c r="C65" s="8" t="s">
        <v>618</v>
      </c>
      <c r="D65" s="8" t="s">
        <v>1342</v>
      </c>
      <c r="E65" s="8" t="s">
        <v>13</v>
      </c>
      <c r="F65" s="8" t="s">
        <v>557</v>
      </c>
      <c r="G65" s="8" t="s">
        <v>1343</v>
      </c>
      <c r="H65" s="8" t="s">
        <v>1344</v>
      </c>
      <c r="I65" s="8" t="s">
        <v>1214</v>
      </c>
      <c r="J65" s="8" t="s">
        <v>1132</v>
      </c>
      <c r="K65" s="8" t="s">
        <v>1345</v>
      </c>
      <c r="L65" s="8" t="s">
        <v>115</v>
      </c>
    </row>
    <row r="66" customFormat="false" ht="15" hidden="false" customHeight="false" outlineLevel="0" collapsed="false">
      <c r="A66" s="8" t="s">
        <v>330</v>
      </c>
      <c r="B66" s="8" t="s">
        <v>1085</v>
      </c>
      <c r="C66" s="8" t="s">
        <v>574</v>
      </c>
      <c r="D66" s="8" t="s">
        <v>1346</v>
      </c>
      <c r="E66" s="8" t="s">
        <v>1347</v>
      </c>
      <c r="F66" s="8" t="s">
        <v>557</v>
      </c>
      <c r="G66" s="8" t="s">
        <v>1348</v>
      </c>
      <c r="H66" s="8" t="s">
        <v>1281</v>
      </c>
      <c r="I66" s="8" t="s">
        <v>1214</v>
      </c>
      <c r="J66" s="8" t="s">
        <v>1132</v>
      </c>
      <c r="K66" s="8" t="s">
        <v>1349</v>
      </c>
      <c r="L66" s="8" t="s">
        <v>115</v>
      </c>
    </row>
    <row r="67" customFormat="false" ht="15" hidden="false" customHeight="false" outlineLevel="0" collapsed="false">
      <c r="A67" s="8" t="s">
        <v>330</v>
      </c>
      <c r="B67" s="8" t="s">
        <v>1065</v>
      </c>
      <c r="C67" s="8" t="s">
        <v>574</v>
      </c>
      <c r="D67" s="8" t="s">
        <v>1350</v>
      </c>
      <c r="E67" s="8" t="s">
        <v>1351</v>
      </c>
      <c r="F67" s="8" t="s">
        <v>557</v>
      </c>
      <c r="G67" s="8" t="s">
        <v>1352</v>
      </c>
      <c r="H67" s="8" t="s">
        <v>1271</v>
      </c>
      <c r="I67" s="8" t="s">
        <v>1214</v>
      </c>
      <c r="J67" s="8" t="s">
        <v>1132</v>
      </c>
      <c r="K67" s="8" t="s">
        <v>1173</v>
      </c>
      <c r="L67" s="8" t="s">
        <v>115</v>
      </c>
    </row>
    <row r="68" customFormat="false" ht="15" hidden="false" customHeight="false" outlineLevel="0" collapsed="false">
      <c r="A68" s="8" t="s">
        <v>330</v>
      </c>
      <c r="B68" s="8" t="s">
        <v>1353</v>
      </c>
      <c r="C68" s="8" t="s">
        <v>1229</v>
      </c>
      <c r="D68" s="8" t="s">
        <v>1354</v>
      </c>
      <c r="E68" s="8" t="s">
        <v>1355</v>
      </c>
      <c r="F68" s="8" t="s">
        <v>557</v>
      </c>
      <c r="G68" s="8" t="s">
        <v>15</v>
      </c>
      <c r="H68" s="8" t="s">
        <v>1248</v>
      </c>
      <c r="I68" s="8" t="s">
        <v>1214</v>
      </c>
      <c r="J68" s="8" t="s">
        <v>1132</v>
      </c>
      <c r="K68" s="8" t="s">
        <v>1356</v>
      </c>
      <c r="L68" s="8" t="s">
        <v>115</v>
      </c>
    </row>
    <row r="69" customFormat="false" ht="15" hidden="false" customHeight="false" outlineLevel="0" collapsed="false">
      <c r="A69" s="8" t="s">
        <v>330</v>
      </c>
      <c r="B69" s="8" t="s">
        <v>1357</v>
      </c>
      <c r="C69" s="8" t="s">
        <v>1229</v>
      </c>
      <c r="D69" s="8" t="s">
        <v>1358</v>
      </c>
      <c r="E69" s="8" t="s">
        <v>1359</v>
      </c>
      <c r="F69" s="8" t="s">
        <v>589</v>
      </c>
      <c r="G69" s="8" t="s">
        <v>15</v>
      </c>
      <c r="H69" s="8" t="s">
        <v>1360</v>
      </c>
      <c r="I69" s="8" t="s">
        <v>1214</v>
      </c>
      <c r="J69" s="8" t="s">
        <v>1132</v>
      </c>
      <c r="K69" s="8" t="s">
        <v>1361</v>
      </c>
      <c r="L69" s="8" t="s">
        <v>115</v>
      </c>
    </row>
    <row r="70" customFormat="false" ht="15" hidden="false" customHeight="false" outlineLevel="0" collapsed="false">
      <c r="A70" s="8" t="s">
        <v>330</v>
      </c>
      <c r="B70" s="8" t="s">
        <v>1090</v>
      </c>
      <c r="C70" s="8" t="s">
        <v>556</v>
      </c>
      <c r="D70" s="8" t="s">
        <v>1362</v>
      </c>
      <c r="E70" s="8" t="s">
        <v>1332</v>
      </c>
      <c r="F70" s="8" t="s">
        <v>589</v>
      </c>
      <c r="G70" s="8" t="s">
        <v>15</v>
      </c>
      <c r="H70" s="8" t="s">
        <v>1363</v>
      </c>
      <c r="I70" s="8" t="s">
        <v>1214</v>
      </c>
      <c r="J70" s="8" t="s">
        <v>1132</v>
      </c>
      <c r="K70" s="8" t="s">
        <v>1364</v>
      </c>
      <c r="L70" s="8" t="s">
        <v>115</v>
      </c>
    </row>
    <row r="71" customFormat="false" ht="15" hidden="false" customHeight="false" outlineLevel="0" collapsed="false">
      <c r="A71" s="8" t="s">
        <v>330</v>
      </c>
      <c r="B71" s="8" t="s">
        <v>1086</v>
      </c>
      <c r="C71" s="8" t="s">
        <v>556</v>
      </c>
      <c r="D71" s="8" t="s">
        <v>1365</v>
      </c>
      <c r="E71" s="8" t="s">
        <v>1366</v>
      </c>
      <c r="F71" s="8" t="s">
        <v>589</v>
      </c>
      <c r="G71" s="8" t="s">
        <v>15</v>
      </c>
      <c r="H71" s="8" t="s">
        <v>1367</v>
      </c>
      <c r="I71" s="8" t="s">
        <v>1214</v>
      </c>
      <c r="J71" s="8" t="s">
        <v>1132</v>
      </c>
      <c r="K71" s="8" t="s">
        <v>1368</v>
      </c>
      <c r="L71" s="8" t="s">
        <v>115</v>
      </c>
    </row>
    <row r="72" customFormat="false" ht="15" hidden="false" customHeight="false" outlineLevel="0" collapsed="false">
      <c r="A72" s="8" t="s">
        <v>1369</v>
      </c>
      <c r="B72" s="8" t="s">
        <v>651</v>
      </c>
      <c r="C72" s="8" t="s">
        <v>556</v>
      </c>
      <c r="D72" s="8" t="s">
        <v>1370</v>
      </c>
      <c r="E72" s="8" t="s">
        <v>1366</v>
      </c>
      <c r="F72" s="8" t="s">
        <v>557</v>
      </c>
      <c r="G72" s="8" t="s">
        <v>15</v>
      </c>
      <c r="H72" s="8" t="s">
        <v>1371</v>
      </c>
      <c r="I72" s="8" t="s">
        <v>1214</v>
      </c>
      <c r="J72" s="8" t="s">
        <v>1132</v>
      </c>
      <c r="K72" s="8" t="s">
        <v>1290</v>
      </c>
      <c r="L72" s="8" t="s">
        <v>115</v>
      </c>
    </row>
    <row r="73" customFormat="false" ht="15" hidden="false" customHeight="false" outlineLevel="0" collapsed="false">
      <c r="A73" s="8" t="s">
        <v>1369</v>
      </c>
      <c r="B73" s="8" t="s">
        <v>555</v>
      </c>
      <c r="C73" s="8" t="s">
        <v>556</v>
      </c>
      <c r="D73" s="8" t="s">
        <v>1372</v>
      </c>
      <c r="E73" s="8" t="s">
        <v>1130</v>
      </c>
      <c r="F73" s="8" t="s">
        <v>557</v>
      </c>
      <c r="G73" s="8" t="s">
        <v>15</v>
      </c>
      <c r="H73" s="8" t="s">
        <v>1217</v>
      </c>
      <c r="I73" s="8" t="s">
        <v>1214</v>
      </c>
      <c r="J73" s="8" t="s">
        <v>1132</v>
      </c>
      <c r="K73" s="8" t="s">
        <v>1218</v>
      </c>
      <c r="L73" s="8" t="s">
        <v>115</v>
      </c>
    </row>
    <row r="74" customFormat="false" ht="15" hidden="false" customHeight="false" outlineLevel="0" collapsed="false">
      <c r="A74" s="8" t="s">
        <v>1369</v>
      </c>
      <c r="B74" s="8" t="s">
        <v>1373</v>
      </c>
      <c r="C74" s="8" t="s">
        <v>1229</v>
      </c>
      <c r="D74" s="8" t="s">
        <v>1374</v>
      </c>
      <c r="E74" s="8" t="s">
        <v>1359</v>
      </c>
      <c r="F74" s="8" t="s">
        <v>557</v>
      </c>
      <c r="G74" s="8" t="s">
        <v>15</v>
      </c>
      <c r="H74" s="8" t="s">
        <v>1248</v>
      </c>
      <c r="I74" s="8" t="s">
        <v>1214</v>
      </c>
      <c r="J74" s="8" t="s">
        <v>1132</v>
      </c>
      <c r="K74" s="8" t="s">
        <v>1356</v>
      </c>
      <c r="L74" s="8" t="s">
        <v>115</v>
      </c>
    </row>
    <row r="75" customFormat="false" ht="23.85" hidden="false" customHeight="false" outlineLevel="0" collapsed="false">
      <c r="A75" s="8" t="s">
        <v>1369</v>
      </c>
      <c r="B75" s="8" t="s">
        <v>1102</v>
      </c>
      <c r="C75" s="8" t="s">
        <v>574</v>
      </c>
      <c r="D75" s="8" t="s">
        <v>1375</v>
      </c>
      <c r="E75" s="8" t="s">
        <v>1376</v>
      </c>
      <c r="F75" s="8" t="s">
        <v>557</v>
      </c>
      <c r="G75" s="8" t="s">
        <v>1377</v>
      </c>
      <c r="H75" s="8" t="s">
        <v>1222</v>
      </c>
      <c r="I75" s="8" t="s">
        <v>1214</v>
      </c>
      <c r="J75" s="8" t="s">
        <v>1132</v>
      </c>
      <c r="K75" s="8" t="s">
        <v>1272</v>
      </c>
      <c r="L75" s="8" t="s">
        <v>115</v>
      </c>
    </row>
    <row r="76" customFormat="false" ht="15" hidden="false" customHeight="false" outlineLevel="0" collapsed="false">
      <c r="A76" s="8" t="s">
        <v>1369</v>
      </c>
      <c r="B76" s="8" t="s">
        <v>1083</v>
      </c>
      <c r="C76" s="8" t="s">
        <v>618</v>
      </c>
      <c r="D76" s="8" t="s">
        <v>1378</v>
      </c>
      <c r="E76" s="8" t="s">
        <v>13</v>
      </c>
      <c r="F76" s="8" t="s">
        <v>557</v>
      </c>
      <c r="G76" s="8" t="s">
        <v>1379</v>
      </c>
      <c r="H76" s="8" t="s">
        <v>1380</v>
      </c>
      <c r="I76" s="8" t="s">
        <v>1214</v>
      </c>
      <c r="J76" s="8" t="s">
        <v>1132</v>
      </c>
      <c r="K76" s="8" t="s">
        <v>1381</v>
      </c>
      <c r="L76" s="8" t="s">
        <v>115</v>
      </c>
    </row>
    <row r="77" customFormat="false" ht="15" hidden="false" customHeight="false" outlineLevel="0" collapsed="false">
      <c r="A77" s="8" t="s">
        <v>1369</v>
      </c>
      <c r="B77" s="8" t="s">
        <v>1085</v>
      </c>
      <c r="C77" s="8" t="s">
        <v>574</v>
      </c>
      <c r="D77" s="8" t="s">
        <v>1382</v>
      </c>
      <c r="E77" s="8" t="s">
        <v>1347</v>
      </c>
      <c r="F77" s="8" t="s">
        <v>557</v>
      </c>
      <c r="G77" s="8" t="s">
        <v>1222</v>
      </c>
      <c r="H77" s="8" t="s">
        <v>1281</v>
      </c>
      <c r="I77" s="8" t="s">
        <v>1214</v>
      </c>
      <c r="J77" s="8" t="s">
        <v>1132</v>
      </c>
      <c r="K77" s="8" t="s">
        <v>1349</v>
      </c>
      <c r="L77" s="8" t="s">
        <v>115</v>
      </c>
    </row>
    <row r="78" customFormat="false" ht="15" hidden="false" customHeight="false" outlineLevel="0" collapsed="false">
      <c r="A78" s="8" t="s">
        <v>1369</v>
      </c>
      <c r="B78" s="8" t="s">
        <v>1065</v>
      </c>
      <c r="C78" s="8" t="s">
        <v>574</v>
      </c>
      <c r="D78" s="8" t="s">
        <v>1383</v>
      </c>
      <c r="E78" s="8" t="s">
        <v>1384</v>
      </c>
      <c r="F78" s="8" t="s">
        <v>557</v>
      </c>
      <c r="G78" s="8" t="s">
        <v>1385</v>
      </c>
      <c r="H78" s="8" t="s">
        <v>1271</v>
      </c>
      <c r="I78" s="8" t="s">
        <v>1214</v>
      </c>
      <c r="J78" s="8" t="s">
        <v>1132</v>
      </c>
      <c r="K78" s="8" t="s">
        <v>1173</v>
      </c>
      <c r="L78" s="8" t="s">
        <v>115</v>
      </c>
    </row>
    <row r="79" customFormat="false" ht="15" hidden="false" customHeight="false" outlineLevel="0" collapsed="false">
      <c r="A79" s="8" t="s">
        <v>1369</v>
      </c>
      <c r="B79" s="8" t="s">
        <v>1386</v>
      </c>
      <c r="C79" s="8" t="s">
        <v>574</v>
      </c>
      <c r="D79" s="8" t="s">
        <v>1387</v>
      </c>
      <c r="E79" s="8" t="s">
        <v>1388</v>
      </c>
      <c r="F79" s="8" t="s">
        <v>557</v>
      </c>
      <c r="G79" s="8" t="s">
        <v>1222</v>
      </c>
      <c r="H79" s="8" t="s">
        <v>1271</v>
      </c>
      <c r="I79" s="8" t="s">
        <v>1214</v>
      </c>
      <c r="J79" s="8" t="s">
        <v>1132</v>
      </c>
      <c r="K79" s="8" t="s">
        <v>1389</v>
      </c>
      <c r="L79" s="8" t="s">
        <v>115</v>
      </c>
    </row>
    <row r="80" customFormat="false" ht="15" hidden="false" customHeight="false" outlineLevel="0" collapsed="false">
      <c r="A80" s="8" t="s">
        <v>1369</v>
      </c>
      <c r="B80" s="8" t="s">
        <v>1103</v>
      </c>
      <c r="C80" s="8" t="s">
        <v>556</v>
      </c>
      <c r="D80" s="8" t="s">
        <v>1390</v>
      </c>
      <c r="E80" s="8" t="s">
        <v>1332</v>
      </c>
      <c r="F80" s="8" t="s">
        <v>557</v>
      </c>
      <c r="G80" s="8" t="s">
        <v>15</v>
      </c>
      <c r="H80" s="8" t="s">
        <v>1391</v>
      </c>
      <c r="I80" s="8" t="s">
        <v>1214</v>
      </c>
      <c r="J80" s="8" t="s">
        <v>1132</v>
      </c>
      <c r="K80" s="8" t="s">
        <v>1341</v>
      </c>
      <c r="L80" s="8" t="s">
        <v>115</v>
      </c>
    </row>
    <row r="81" customFormat="false" ht="15" hidden="false" customHeight="false" outlineLevel="0" collapsed="false">
      <c r="A81" s="8" t="s">
        <v>1369</v>
      </c>
      <c r="B81" s="8" t="s">
        <v>1110</v>
      </c>
      <c r="C81" s="8" t="s">
        <v>556</v>
      </c>
      <c r="D81" s="8" t="s">
        <v>1392</v>
      </c>
      <c r="E81" s="8" t="s">
        <v>1366</v>
      </c>
      <c r="F81" s="8" t="s">
        <v>589</v>
      </c>
      <c r="G81" s="8" t="s">
        <v>15</v>
      </c>
      <c r="H81" s="8" t="s">
        <v>1393</v>
      </c>
      <c r="I81" s="8" t="s">
        <v>1214</v>
      </c>
      <c r="J81" s="8" t="s">
        <v>1132</v>
      </c>
      <c r="K81" s="8" t="s">
        <v>1394</v>
      </c>
      <c r="L81" s="8" t="s">
        <v>115</v>
      </c>
    </row>
    <row r="82" customFormat="false" ht="15" hidden="false" customHeight="false" outlineLevel="0" collapsed="false">
      <c r="A82" s="8" t="s">
        <v>1369</v>
      </c>
      <c r="B82" s="8" t="s">
        <v>1107</v>
      </c>
      <c r="C82" s="8" t="s">
        <v>618</v>
      </c>
      <c r="D82" s="8" t="s">
        <v>1395</v>
      </c>
      <c r="E82" s="8" t="s">
        <v>1396</v>
      </c>
      <c r="F82" s="8" t="s">
        <v>570</v>
      </c>
      <c r="G82" s="8" t="s">
        <v>1185</v>
      </c>
      <c r="H82" s="8" t="s">
        <v>1397</v>
      </c>
      <c r="I82" s="8" t="s">
        <v>1214</v>
      </c>
      <c r="J82" s="8" t="s">
        <v>1132</v>
      </c>
      <c r="K82" s="8" t="s">
        <v>1368</v>
      </c>
      <c r="L82" s="8" t="s">
        <v>115</v>
      </c>
    </row>
    <row r="83" customFormat="false" ht="15" hidden="false" customHeight="false" outlineLevel="0" collapsed="false">
      <c r="A83" s="8" t="s">
        <v>397</v>
      </c>
      <c r="B83" s="8" t="s">
        <v>663</v>
      </c>
      <c r="C83" s="8" t="s">
        <v>556</v>
      </c>
      <c r="D83" s="8" t="s">
        <v>1398</v>
      </c>
      <c r="E83" s="8" t="s">
        <v>1399</v>
      </c>
      <c r="F83" s="8" t="s">
        <v>557</v>
      </c>
      <c r="G83" s="8" t="s">
        <v>15</v>
      </c>
      <c r="H83" s="8" t="s">
        <v>1213</v>
      </c>
      <c r="I83" s="8" t="s">
        <v>1214</v>
      </c>
      <c r="J83" s="8" t="s">
        <v>1132</v>
      </c>
      <c r="K83" s="8" t="s">
        <v>1290</v>
      </c>
      <c r="L83" s="8" t="s">
        <v>115</v>
      </c>
    </row>
    <row r="84" customFormat="false" ht="15" hidden="false" customHeight="false" outlineLevel="0" collapsed="false">
      <c r="A84" s="8" t="s">
        <v>397</v>
      </c>
      <c r="B84" s="8" t="s">
        <v>555</v>
      </c>
      <c r="C84" s="8" t="s">
        <v>556</v>
      </c>
      <c r="D84" s="8" t="s">
        <v>1400</v>
      </c>
      <c r="E84" s="8" t="s">
        <v>1130</v>
      </c>
      <c r="F84" s="8" t="s">
        <v>557</v>
      </c>
      <c r="G84" s="8" t="s">
        <v>15</v>
      </c>
      <c r="H84" s="8" t="s">
        <v>1217</v>
      </c>
      <c r="I84" s="8" t="s">
        <v>1214</v>
      </c>
      <c r="J84" s="8" t="s">
        <v>1132</v>
      </c>
      <c r="K84" s="8" t="s">
        <v>1218</v>
      </c>
      <c r="L84" s="8" t="s">
        <v>115</v>
      </c>
    </row>
    <row r="85" customFormat="false" ht="15" hidden="false" customHeight="false" outlineLevel="0" collapsed="false">
      <c r="A85" s="8" t="s">
        <v>397</v>
      </c>
      <c r="B85" s="8" t="s">
        <v>1401</v>
      </c>
      <c r="C85" s="8" t="s">
        <v>618</v>
      </c>
      <c r="D85" s="8" t="s">
        <v>1402</v>
      </c>
      <c r="E85" s="8" t="s">
        <v>1403</v>
      </c>
      <c r="F85" s="8" t="s">
        <v>557</v>
      </c>
      <c r="G85" s="8" t="s">
        <v>1343</v>
      </c>
      <c r="H85" s="8" t="s">
        <v>1404</v>
      </c>
      <c r="I85" s="8" t="s">
        <v>1214</v>
      </c>
      <c r="J85" s="8" t="s">
        <v>1132</v>
      </c>
      <c r="K85" s="8" t="s">
        <v>1381</v>
      </c>
      <c r="L85" s="8" t="s">
        <v>115</v>
      </c>
    </row>
    <row r="86" customFormat="false" ht="15" hidden="false" customHeight="false" outlineLevel="0" collapsed="false">
      <c r="A86" s="8" t="s">
        <v>397</v>
      </c>
      <c r="B86" s="8" t="s">
        <v>1085</v>
      </c>
      <c r="C86" s="8" t="s">
        <v>574</v>
      </c>
      <c r="D86" s="8" t="s">
        <v>1405</v>
      </c>
      <c r="E86" s="8" t="s">
        <v>1347</v>
      </c>
      <c r="F86" s="8" t="s">
        <v>557</v>
      </c>
      <c r="G86" s="8" t="s">
        <v>1222</v>
      </c>
      <c r="H86" s="8" t="s">
        <v>1281</v>
      </c>
      <c r="I86" s="8" t="s">
        <v>1214</v>
      </c>
      <c r="J86" s="8" t="s">
        <v>1132</v>
      </c>
      <c r="K86" s="8" t="s">
        <v>1406</v>
      </c>
      <c r="L86" s="8" t="s">
        <v>115</v>
      </c>
    </row>
    <row r="87" customFormat="false" ht="15" hidden="false" customHeight="false" outlineLevel="0" collapsed="false">
      <c r="A87" s="8" t="s">
        <v>397</v>
      </c>
      <c r="B87" s="8" t="s">
        <v>1114</v>
      </c>
      <c r="C87" s="8" t="s">
        <v>574</v>
      </c>
      <c r="D87" s="8" t="s">
        <v>1407</v>
      </c>
      <c r="E87" s="8" t="s">
        <v>1408</v>
      </c>
      <c r="F87" s="8" t="s">
        <v>557</v>
      </c>
      <c r="G87" s="8" t="s">
        <v>1222</v>
      </c>
      <c r="H87" s="8" t="s">
        <v>1281</v>
      </c>
      <c r="I87" s="8" t="s">
        <v>1214</v>
      </c>
      <c r="J87" s="8" t="s">
        <v>1132</v>
      </c>
      <c r="K87" s="8" t="s">
        <v>1409</v>
      </c>
      <c r="L87" s="8" t="s">
        <v>115</v>
      </c>
    </row>
    <row r="88" customFormat="false" ht="15" hidden="false" customHeight="false" outlineLevel="0" collapsed="false">
      <c r="A88" s="8" t="s">
        <v>397</v>
      </c>
      <c r="B88" s="8" t="s">
        <v>1410</v>
      </c>
      <c r="C88" s="8" t="s">
        <v>1229</v>
      </c>
      <c r="D88" s="8" t="s">
        <v>1411</v>
      </c>
      <c r="E88" s="8" t="s">
        <v>1412</v>
      </c>
      <c r="F88" s="8" t="s">
        <v>557</v>
      </c>
      <c r="G88" s="8" t="s">
        <v>15</v>
      </c>
      <c r="H88" s="8" t="s">
        <v>1248</v>
      </c>
      <c r="I88" s="8" t="s">
        <v>1214</v>
      </c>
      <c r="J88" s="8" t="s">
        <v>1132</v>
      </c>
      <c r="K88" s="8" t="s">
        <v>1173</v>
      </c>
      <c r="L88" s="8" t="s">
        <v>115</v>
      </c>
    </row>
    <row r="89" customFormat="false" ht="15" hidden="false" customHeight="false" outlineLevel="0" collapsed="false">
      <c r="A89" s="8" t="s">
        <v>397</v>
      </c>
      <c r="B89" s="8" t="s">
        <v>1413</v>
      </c>
      <c r="C89" s="8" t="s">
        <v>1229</v>
      </c>
      <c r="D89" s="8" t="s">
        <v>1414</v>
      </c>
      <c r="E89" s="8" t="s">
        <v>1415</v>
      </c>
      <c r="F89" s="8" t="s">
        <v>589</v>
      </c>
      <c r="G89" s="8" t="s">
        <v>15</v>
      </c>
      <c r="H89" s="8" t="s">
        <v>1416</v>
      </c>
      <c r="I89" s="8" t="s">
        <v>1214</v>
      </c>
      <c r="J89" s="8" t="s">
        <v>1132</v>
      </c>
      <c r="K89" s="8" t="s">
        <v>1417</v>
      </c>
      <c r="L89" s="8" t="s">
        <v>115</v>
      </c>
    </row>
    <row r="90" customFormat="false" ht="15" hidden="false" customHeight="false" outlineLevel="0" collapsed="false">
      <c r="A90" s="8" t="s">
        <v>397</v>
      </c>
      <c r="B90" s="8" t="s">
        <v>1418</v>
      </c>
      <c r="C90" s="8" t="s">
        <v>1229</v>
      </c>
      <c r="D90" s="8" t="s">
        <v>1419</v>
      </c>
      <c r="E90" s="8" t="s">
        <v>1420</v>
      </c>
      <c r="F90" s="8" t="s">
        <v>589</v>
      </c>
      <c r="G90" s="8" t="s">
        <v>15</v>
      </c>
      <c r="H90" s="8" t="s">
        <v>1421</v>
      </c>
      <c r="I90" s="8" t="s">
        <v>1214</v>
      </c>
      <c r="J90" s="8" t="s">
        <v>1132</v>
      </c>
      <c r="K90" s="8" t="s">
        <v>1422</v>
      </c>
      <c r="L90" s="8" t="s">
        <v>115</v>
      </c>
    </row>
    <row r="91" customFormat="false" ht="23.85" hidden="false" customHeight="false" outlineLevel="0" collapsed="false">
      <c r="A91" s="8" t="s">
        <v>397</v>
      </c>
      <c r="B91" s="8" t="s">
        <v>1065</v>
      </c>
      <c r="C91" s="8" t="s">
        <v>574</v>
      </c>
      <c r="D91" s="8" t="s">
        <v>598</v>
      </c>
      <c r="E91" s="8" t="s">
        <v>1384</v>
      </c>
      <c r="F91" s="8" t="s">
        <v>557</v>
      </c>
      <c r="G91" s="8" t="s">
        <v>1423</v>
      </c>
      <c r="H91" s="8" t="s">
        <v>1424</v>
      </c>
      <c r="I91" s="8" t="s">
        <v>1214</v>
      </c>
      <c r="J91" s="8" t="s">
        <v>1132</v>
      </c>
      <c r="K91" s="8" t="s">
        <v>1425</v>
      </c>
      <c r="L91" s="8" t="s">
        <v>115</v>
      </c>
    </row>
    <row r="92" customFormat="false" ht="15" hidden="false" customHeight="false" outlineLevel="0" collapsed="false">
      <c r="A92" s="8" t="s">
        <v>397</v>
      </c>
      <c r="B92" s="8" t="s">
        <v>1091</v>
      </c>
      <c r="C92" s="8" t="s">
        <v>574</v>
      </c>
      <c r="D92" s="8" t="s">
        <v>1426</v>
      </c>
      <c r="E92" s="8" t="s">
        <v>1427</v>
      </c>
      <c r="F92" s="8" t="s">
        <v>589</v>
      </c>
      <c r="G92" s="8" t="s">
        <v>1222</v>
      </c>
      <c r="H92" s="8" t="s">
        <v>1428</v>
      </c>
      <c r="I92" s="8" t="s">
        <v>1214</v>
      </c>
      <c r="J92" s="8" t="s">
        <v>1132</v>
      </c>
      <c r="K92" s="8" t="s">
        <v>1239</v>
      </c>
      <c r="L92" s="8" t="s">
        <v>115</v>
      </c>
    </row>
    <row r="93" customFormat="false" ht="15" hidden="false" customHeight="false" outlineLevel="0" collapsed="false">
      <c r="A93" s="8" t="s">
        <v>375</v>
      </c>
      <c r="B93" s="8" t="s">
        <v>667</v>
      </c>
      <c r="C93" s="8" t="s">
        <v>556</v>
      </c>
      <c r="D93" s="8" t="s">
        <v>1429</v>
      </c>
      <c r="E93" s="8" t="s">
        <v>1430</v>
      </c>
      <c r="F93" s="8" t="s">
        <v>557</v>
      </c>
      <c r="G93" s="8" t="s">
        <v>15</v>
      </c>
      <c r="H93" s="8" t="s">
        <v>1213</v>
      </c>
      <c r="I93" s="8" t="s">
        <v>1214</v>
      </c>
      <c r="J93" s="8" t="s">
        <v>1132</v>
      </c>
      <c r="K93" s="8" t="s">
        <v>1290</v>
      </c>
      <c r="L93" s="8" t="s">
        <v>115</v>
      </c>
    </row>
    <row r="94" customFormat="false" ht="15" hidden="false" customHeight="false" outlineLevel="0" collapsed="false">
      <c r="A94" s="8" t="s">
        <v>375</v>
      </c>
      <c r="B94" s="8" t="s">
        <v>1096</v>
      </c>
      <c r="C94" s="8" t="s">
        <v>556</v>
      </c>
      <c r="D94" s="8" t="s">
        <v>1431</v>
      </c>
      <c r="E94" s="8" t="s">
        <v>1432</v>
      </c>
      <c r="F94" s="8" t="s">
        <v>557</v>
      </c>
      <c r="G94" s="8" t="s">
        <v>15</v>
      </c>
      <c r="H94" s="8" t="s">
        <v>1217</v>
      </c>
      <c r="I94" s="8" t="s">
        <v>1214</v>
      </c>
      <c r="J94" s="8" t="s">
        <v>1132</v>
      </c>
      <c r="K94" s="8" t="s">
        <v>1389</v>
      </c>
      <c r="L94" s="8" t="s">
        <v>115</v>
      </c>
    </row>
    <row r="95" customFormat="false" ht="15" hidden="false" customHeight="false" outlineLevel="0" collapsed="false">
      <c r="A95" s="8" t="s">
        <v>375</v>
      </c>
      <c r="B95" s="8" t="s">
        <v>1097</v>
      </c>
      <c r="C95" s="8" t="s">
        <v>556</v>
      </c>
      <c r="D95" s="8" t="s">
        <v>1433</v>
      </c>
      <c r="E95" s="8" t="s">
        <v>1434</v>
      </c>
      <c r="F95" s="8" t="s">
        <v>589</v>
      </c>
      <c r="G95" s="8" t="s">
        <v>15</v>
      </c>
      <c r="H95" s="8" t="s">
        <v>1435</v>
      </c>
      <c r="I95" s="8" t="s">
        <v>1214</v>
      </c>
      <c r="J95" s="8" t="s">
        <v>1132</v>
      </c>
      <c r="K95" s="8" t="s">
        <v>1389</v>
      </c>
      <c r="L95" s="8" t="s">
        <v>115</v>
      </c>
    </row>
    <row r="96" customFormat="false" ht="15" hidden="false" customHeight="false" outlineLevel="0" collapsed="false">
      <c r="A96" s="8" t="s">
        <v>375</v>
      </c>
      <c r="B96" s="8" t="s">
        <v>1353</v>
      </c>
      <c r="C96" s="8" t="s">
        <v>1229</v>
      </c>
      <c r="D96" s="8" t="s">
        <v>1436</v>
      </c>
      <c r="E96" s="8" t="s">
        <v>1437</v>
      </c>
      <c r="F96" s="8" t="s">
        <v>557</v>
      </c>
      <c r="G96" s="8" t="s">
        <v>15</v>
      </c>
      <c r="H96" s="8" t="s">
        <v>1248</v>
      </c>
      <c r="I96" s="8" t="s">
        <v>1214</v>
      </c>
      <c r="J96" s="8" t="s">
        <v>1132</v>
      </c>
      <c r="K96" s="8" t="s">
        <v>1299</v>
      </c>
      <c r="L96" s="8" t="s">
        <v>115</v>
      </c>
    </row>
    <row r="97" customFormat="false" ht="15" hidden="false" customHeight="false" outlineLevel="0" collapsed="false">
      <c r="A97" s="8" t="s">
        <v>375</v>
      </c>
      <c r="B97" s="8" t="s">
        <v>1438</v>
      </c>
      <c r="C97" s="8" t="s">
        <v>1229</v>
      </c>
      <c r="D97" s="8" t="s">
        <v>1439</v>
      </c>
      <c r="E97" s="8" t="s">
        <v>1440</v>
      </c>
      <c r="F97" s="8" t="s">
        <v>589</v>
      </c>
      <c r="G97" s="8" t="s">
        <v>15</v>
      </c>
      <c r="H97" s="8" t="s">
        <v>1360</v>
      </c>
      <c r="I97" s="8" t="s">
        <v>1214</v>
      </c>
      <c r="J97" s="8" t="s">
        <v>1132</v>
      </c>
      <c r="K97" s="8" t="s">
        <v>1299</v>
      </c>
      <c r="L97" s="8" t="s">
        <v>115</v>
      </c>
    </row>
    <row r="98" customFormat="false" ht="15" hidden="false" customHeight="false" outlineLevel="0" collapsed="false">
      <c r="A98" s="8" t="s">
        <v>375</v>
      </c>
      <c r="B98" s="8" t="s">
        <v>1441</v>
      </c>
      <c r="C98" s="8" t="s">
        <v>1229</v>
      </c>
      <c r="D98" s="8" t="s">
        <v>1442</v>
      </c>
      <c r="E98" s="8" t="s">
        <v>1443</v>
      </c>
      <c r="F98" s="8" t="s">
        <v>589</v>
      </c>
      <c r="G98" s="8" t="s">
        <v>15</v>
      </c>
      <c r="H98" s="8" t="s">
        <v>1444</v>
      </c>
      <c r="I98" s="8" t="s">
        <v>1214</v>
      </c>
      <c r="J98" s="8" t="s">
        <v>1132</v>
      </c>
      <c r="K98" s="8" t="s">
        <v>1299</v>
      </c>
      <c r="L98" s="8" t="s">
        <v>115</v>
      </c>
    </row>
    <row r="99" customFormat="false" ht="15" hidden="false" customHeight="false" outlineLevel="0" collapsed="false">
      <c r="A99" s="8" t="s">
        <v>375</v>
      </c>
      <c r="B99" s="8" t="s">
        <v>1445</v>
      </c>
      <c r="C99" s="8" t="s">
        <v>1229</v>
      </c>
      <c r="D99" s="8" t="s">
        <v>1446</v>
      </c>
      <c r="E99" s="8" t="s">
        <v>1447</v>
      </c>
      <c r="F99" s="8" t="s">
        <v>589</v>
      </c>
      <c r="G99" s="8" t="s">
        <v>15</v>
      </c>
      <c r="H99" s="8" t="s">
        <v>1448</v>
      </c>
      <c r="I99" s="8" t="s">
        <v>1214</v>
      </c>
      <c r="J99" s="8" t="s">
        <v>1132</v>
      </c>
      <c r="K99" s="8" t="s">
        <v>1299</v>
      </c>
      <c r="L99" s="8" t="s">
        <v>115</v>
      </c>
    </row>
    <row r="100" customFormat="false" ht="23.85" hidden="false" customHeight="false" outlineLevel="0" collapsed="false">
      <c r="A100" s="8" t="s">
        <v>375</v>
      </c>
      <c r="B100" s="8" t="s">
        <v>1065</v>
      </c>
      <c r="C100" s="8" t="s">
        <v>574</v>
      </c>
      <c r="D100" s="8" t="s">
        <v>1449</v>
      </c>
      <c r="E100" s="8" t="s">
        <v>1450</v>
      </c>
      <c r="F100" s="8" t="s">
        <v>557</v>
      </c>
      <c r="G100" s="8" t="s">
        <v>1451</v>
      </c>
      <c r="H100" s="8" t="s">
        <v>1271</v>
      </c>
      <c r="I100" s="8" t="s">
        <v>1214</v>
      </c>
      <c r="J100" s="8" t="s">
        <v>1132</v>
      </c>
      <c r="K100" s="8" t="s">
        <v>1452</v>
      </c>
      <c r="L100" s="8" t="s">
        <v>115</v>
      </c>
    </row>
    <row r="101" customFormat="false" ht="23.85" hidden="false" customHeight="false" outlineLevel="0" collapsed="false">
      <c r="A101" s="8" t="s">
        <v>375</v>
      </c>
      <c r="B101" s="8" t="s">
        <v>1386</v>
      </c>
      <c r="C101" s="8" t="s">
        <v>574</v>
      </c>
      <c r="D101" s="8" t="s">
        <v>1453</v>
      </c>
      <c r="E101" s="8" t="s">
        <v>1162</v>
      </c>
      <c r="F101" s="8" t="s">
        <v>570</v>
      </c>
      <c r="G101" s="8" t="s">
        <v>1222</v>
      </c>
      <c r="H101" s="8" t="s">
        <v>15</v>
      </c>
      <c r="I101" s="8" t="s">
        <v>1454</v>
      </c>
      <c r="J101" s="8" t="s">
        <v>1132</v>
      </c>
      <c r="K101" s="8" t="s">
        <v>587</v>
      </c>
      <c r="L101" s="8" t="s">
        <v>115</v>
      </c>
    </row>
    <row r="102" customFormat="false" ht="23.85" hidden="false" customHeight="false" outlineLevel="0" collapsed="false">
      <c r="A102" s="8" t="s">
        <v>1455</v>
      </c>
      <c r="B102" s="8" t="s">
        <v>643</v>
      </c>
      <c r="C102" s="8" t="s">
        <v>556</v>
      </c>
      <c r="D102" s="8" t="s">
        <v>1456</v>
      </c>
      <c r="E102" s="8" t="s">
        <v>1457</v>
      </c>
      <c r="F102" s="8" t="s">
        <v>557</v>
      </c>
      <c r="G102" s="8" t="s">
        <v>15</v>
      </c>
      <c r="H102" s="8" t="s">
        <v>1213</v>
      </c>
      <c r="I102" s="8" t="s">
        <v>1293</v>
      </c>
      <c r="J102" s="8" t="s">
        <v>1132</v>
      </c>
      <c r="K102" s="8" t="s">
        <v>1290</v>
      </c>
      <c r="L102" s="8" t="s">
        <v>561</v>
      </c>
    </row>
    <row r="103" customFormat="false" ht="23.85" hidden="false" customHeight="false" outlineLevel="0" collapsed="false">
      <c r="A103" s="8" t="s">
        <v>1455</v>
      </c>
      <c r="B103" s="8" t="s">
        <v>555</v>
      </c>
      <c r="C103" s="8" t="s">
        <v>556</v>
      </c>
      <c r="D103" s="8" t="s">
        <v>1458</v>
      </c>
      <c r="E103" s="8" t="s">
        <v>1130</v>
      </c>
      <c r="F103" s="8" t="s">
        <v>557</v>
      </c>
      <c r="G103" s="8" t="s">
        <v>15</v>
      </c>
      <c r="H103" s="8" t="s">
        <v>1217</v>
      </c>
      <c r="I103" s="8" t="s">
        <v>1293</v>
      </c>
      <c r="J103" s="8" t="s">
        <v>1132</v>
      </c>
      <c r="K103" s="8" t="s">
        <v>1218</v>
      </c>
      <c r="L103" s="8" t="s">
        <v>561</v>
      </c>
    </row>
    <row r="104" customFormat="false" ht="23.85" hidden="false" customHeight="false" outlineLevel="0" collapsed="false">
      <c r="A104" s="8" t="s">
        <v>1455</v>
      </c>
      <c r="B104" s="8" t="s">
        <v>647</v>
      </c>
      <c r="C104" s="8" t="s">
        <v>556</v>
      </c>
      <c r="D104" s="8" t="s">
        <v>1459</v>
      </c>
      <c r="E104" s="8" t="s">
        <v>1242</v>
      </c>
      <c r="F104" s="8" t="s">
        <v>589</v>
      </c>
      <c r="G104" s="8" t="s">
        <v>15</v>
      </c>
      <c r="H104" s="8" t="s">
        <v>1298</v>
      </c>
      <c r="I104" s="8" t="s">
        <v>1293</v>
      </c>
      <c r="J104" s="8" t="s">
        <v>1132</v>
      </c>
      <c r="K104" s="8" t="s">
        <v>1460</v>
      </c>
      <c r="L104" s="8" t="s">
        <v>561</v>
      </c>
    </row>
    <row r="105" customFormat="false" ht="35.05" hidden="false" customHeight="false" outlineLevel="0" collapsed="false">
      <c r="A105" s="8" t="s">
        <v>1455</v>
      </c>
      <c r="B105" s="8" t="s">
        <v>1461</v>
      </c>
      <c r="C105" s="8" t="s">
        <v>556</v>
      </c>
      <c r="D105" s="8" t="s">
        <v>1462</v>
      </c>
      <c r="E105" s="8" t="s">
        <v>446</v>
      </c>
      <c r="F105" s="8" t="s">
        <v>557</v>
      </c>
      <c r="G105" s="8" t="s">
        <v>1463</v>
      </c>
      <c r="H105" s="8" t="s">
        <v>1464</v>
      </c>
      <c r="I105" s="8" t="s">
        <v>1465</v>
      </c>
      <c r="J105" s="8" t="s">
        <v>1132</v>
      </c>
      <c r="K105" s="8" t="s">
        <v>1466</v>
      </c>
      <c r="L105" s="8" t="s">
        <v>561</v>
      </c>
    </row>
    <row r="106" customFormat="false" ht="23.85" hidden="false" customHeight="false" outlineLevel="0" collapsed="false">
      <c r="A106" s="8" t="s">
        <v>1455</v>
      </c>
      <c r="B106" s="8" t="s">
        <v>1047</v>
      </c>
      <c r="C106" s="8" t="s">
        <v>1229</v>
      </c>
      <c r="D106" s="8" t="s">
        <v>1467</v>
      </c>
      <c r="E106" s="8" t="s">
        <v>1468</v>
      </c>
      <c r="F106" s="8" t="s">
        <v>557</v>
      </c>
      <c r="G106" s="8" t="s">
        <v>15</v>
      </c>
      <c r="H106" s="8" t="s">
        <v>1469</v>
      </c>
      <c r="I106" s="8" t="s">
        <v>1470</v>
      </c>
      <c r="J106" s="8" t="s">
        <v>1132</v>
      </c>
      <c r="K106" s="8" t="s">
        <v>1356</v>
      </c>
      <c r="L106" s="8" t="s">
        <v>561</v>
      </c>
    </row>
    <row r="107" customFormat="false" ht="23.85" hidden="false" customHeight="false" outlineLevel="0" collapsed="false">
      <c r="A107" s="8" t="s">
        <v>1455</v>
      </c>
      <c r="B107" s="8" t="s">
        <v>1061</v>
      </c>
      <c r="C107" s="8" t="s">
        <v>574</v>
      </c>
      <c r="D107" s="8" t="s">
        <v>252</v>
      </c>
      <c r="E107" s="8" t="s">
        <v>356</v>
      </c>
      <c r="F107" s="8" t="s">
        <v>557</v>
      </c>
      <c r="G107" s="8" t="s">
        <v>1222</v>
      </c>
      <c r="H107" s="8" t="s">
        <v>1471</v>
      </c>
      <c r="I107" s="8" t="s">
        <v>1472</v>
      </c>
      <c r="J107" s="8" t="s">
        <v>1132</v>
      </c>
      <c r="K107" s="8" t="s">
        <v>1473</v>
      </c>
      <c r="L107" s="8" t="s">
        <v>561</v>
      </c>
    </row>
    <row r="108" customFormat="false" ht="23.85" hidden="false" customHeight="false" outlineLevel="0" collapsed="false">
      <c r="A108" s="8" t="s">
        <v>1455</v>
      </c>
      <c r="B108" s="8" t="s">
        <v>1474</v>
      </c>
      <c r="C108" s="8" t="s">
        <v>574</v>
      </c>
      <c r="D108" s="8" t="s">
        <v>1475</v>
      </c>
      <c r="E108" s="8" t="s">
        <v>1476</v>
      </c>
      <c r="F108" s="8" t="s">
        <v>557</v>
      </c>
      <c r="G108" s="8" t="s">
        <v>1477</v>
      </c>
      <c r="H108" s="8" t="s">
        <v>1478</v>
      </c>
      <c r="I108" s="8" t="s">
        <v>1293</v>
      </c>
      <c r="J108" s="8" t="s">
        <v>1132</v>
      </c>
      <c r="K108" s="8" t="s">
        <v>1479</v>
      </c>
      <c r="L108" s="8" t="s">
        <v>561</v>
      </c>
    </row>
    <row r="109" customFormat="false" ht="23.85" hidden="false" customHeight="false" outlineLevel="0" collapsed="false">
      <c r="A109" s="8" t="s">
        <v>1455</v>
      </c>
      <c r="B109" s="8" t="s">
        <v>1480</v>
      </c>
      <c r="C109" s="8" t="s">
        <v>569</v>
      </c>
      <c r="D109" s="8" t="s">
        <v>1481</v>
      </c>
      <c r="E109" s="8" t="s">
        <v>1482</v>
      </c>
      <c r="F109" s="8" t="s">
        <v>570</v>
      </c>
      <c r="G109" s="8" t="s">
        <v>1483</v>
      </c>
      <c r="H109" s="8" t="s">
        <v>1484</v>
      </c>
      <c r="I109" s="8" t="s">
        <v>1293</v>
      </c>
      <c r="J109" s="8" t="s">
        <v>1132</v>
      </c>
      <c r="K109" s="8" t="s">
        <v>1485</v>
      </c>
      <c r="L109" s="8" t="s">
        <v>561</v>
      </c>
    </row>
  </sheetData>
  <autoFilter ref="A3:L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5" min="4" style="0" width="44"/>
    <col collapsed="false" customWidth="true" hidden="false" outlineLevel="0" max="6" min="6" style="0" width="28"/>
    <col collapsed="false" customWidth="true" hidden="false" outlineLevel="0" max="7" min="7" style="0" width="22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24"/>
    <col collapsed="false" customWidth="true" hidden="false" outlineLevel="0" max="11" min="11" style="0" width="34"/>
    <col collapsed="false" customWidth="true" hidden="false" outlineLevel="0" max="12" min="12" style="0" width="38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7.35" hidden="false" customHeight="false" outlineLevel="0" collapsed="false">
      <c r="A1" s="1" t="s">
        <v>1486</v>
      </c>
    </row>
    <row r="2" customFormat="false" ht="15" hidden="false" customHeight="false" outlineLevel="0" collapsed="false">
      <c r="A2" s="6" t="s">
        <v>51</v>
      </c>
    </row>
    <row r="3" customFormat="false" ht="23.85" hidden="false" customHeight="false" outlineLevel="0" collapsed="false">
      <c r="A3" s="7" t="s">
        <v>1487</v>
      </c>
      <c r="B3" s="7" t="s">
        <v>1488</v>
      </c>
      <c r="C3" s="7" t="s">
        <v>1489</v>
      </c>
      <c r="D3" s="7" t="s">
        <v>637</v>
      </c>
      <c r="E3" s="7" t="s">
        <v>1490</v>
      </c>
      <c r="F3" s="7" t="s">
        <v>1491</v>
      </c>
      <c r="G3" s="7" t="s">
        <v>1492</v>
      </c>
      <c r="H3" s="7" t="s">
        <v>1493</v>
      </c>
      <c r="I3" s="7" t="s">
        <v>1494</v>
      </c>
      <c r="J3" s="7" t="s">
        <v>688</v>
      </c>
      <c r="K3" s="7" t="s">
        <v>1495</v>
      </c>
      <c r="L3" s="7" t="s">
        <v>1496</v>
      </c>
      <c r="M3" s="7" t="s">
        <v>57</v>
      </c>
      <c r="N3" s="7" t="s">
        <v>1497</v>
      </c>
    </row>
    <row r="4" customFormat="false" ht="23.85" hidden="false" customHeight="false" outlineLevel="0" collapsed="false">
      <c r="A4" s="8" t="s">
        <v>1498</v>
      </c>
      <c r="B4" s="8" t="s">
        <v>1499</v>
      </c>
      <c r="C4" s="8" t="s">
        <v>1500</v>
      </c>
      <c r="D4" s="8" t="s">
        <v>1501</v>
      </c>
      <c r="E4" s="8" t="s">
        <v>1502</v>
      </c>
      <c r="F4" s="8" t="s">
        <v>1503</v>
      </c>
      <c r="G4" s="8" t="s">
        <v>1504</v>
      </c>
      <c r="H4" s="8" t="s">
        <v>1505</v>
      </c>
      <c r="I4" s="8" t="s">
        <v>1506</v>
      </c>
      <c r="J4" s="8" t="s">
        <v>1507</v>
      </c>
      <c r="K4" s="8" t="s">
        <v>1508</v>
      </c>
      <c r="L4" s="8" t="s">
        <v>1509</v>
      </c>
      <c r="M4" s="8" t="s">
        <v>115</v>
      </c>
      <c r="N4" s="8" t="s">
        <v>1510</v>
      </c>
    </row>
    <row r="5" customFormat="false" ht="23.85" hidden="false" customHeight="false" outlineLevel="0" collapsed="false">
      <c r="A5" s="8" t="s">
        <v>1511</v>
      </c>
      <c r="B5" s="8" t="s">
        <v>1499</v>
      </c>
      <c r="C5" s="8" t="s">
        <v>1512</v>
      </c>
      <c r="D5" s="8" t="s">
        <v>1513</v>
      </c>
      <c r="E5" s="8" t="s">
        <v>1514</v>
      </c>
      <c r="F5" s="8" t="s">
        <v>1515</v>
      </c>
      <c r="G5" s="8" t="s">
        <v>1128</v>
      </c>
      <c r="H5" s="8" t="s">
        <v>1516</v>
      </c>
      <c r="I5" s="8" t="s">
        <v>1517</v>
      </c>
      <c r="J5" s="8" t="s">
        <v>1518</v>
      </c>
      <c r="K5" s="8" t="s">
        <v>1519</v>
      </c>
      <c r="L5" s="8" t="s">
        <v>1520</v>
      </c>
      <c r="M5" s="8" t="s">
        <v>115</v>
      </c>
      <c r="N5" s="8" t="s">
        <v>1510</v>
      </c>
    </row>
    <row r="6" customFormat="false" ht="23.85" hidden="false" customHeight="false" outlineLevel="0" collapsed="false">
      <c r="A6" s="8" t="s">
        <v>1521</v>
      </c>
      <c r="B6" s="8" t="s">
        <v>1499</v>
      </c>
      <c r="C6" s="8" t="s">
        <v>1522</v>
      </c>
      <c r="D6" s="8" t="s">
        <v>1523</v>
      </c>
      <c r="E6" s="8" t="s">
        <v>1524</v>
      </c>
      <c r="F6" s="8" t="s">
        <v>1525</v>
      </c>
      <c r="G6" s="8" t="s">
        <v>1526</v>
      </c>
      <c r="H6" s="8" t="s">
        <v>1505</v>
      </c>
      <c r="I6" s="8" t="s">
        <v>1527</v>
      </c>
      <c r="J6" s="8" t="s">
        <v>1528</v>
      </c>
      <c r="K6" s="8" t="s">
        <v>1529</v>
      </c>
      <c r="L6" s="8" t="s">
        <v>1530</v>
      </c>
      <c r="M6" s="8" t="s">
        <v>115</v>
      </c>
      <c r="N6" s="8" t="s">
        <v>1531</v>
      </c>
    </row>
    <row r="7" customFormat="false" ht="23.85" hidden="false" customHeight="false" outlineLevel="0" collapsed="false">
      <c r="A7" s="8" t="s">
        <v>1532</v>
      </c>
      <c r="B7" s="8" t="s">
        <v>1499</v>
      </c>
      <c r="C7" s="8" t="s">
        <v>1533</v>
      </c>
      <c r="D7" s="8" t="s">
        <v>1534</v>
      </c>
      <c r="E7" s="8" t="s">
        <v>1535</v>
      </c>
      <c r="F7" s="8" t="s">
        <v>1536</v>
      </c>
      <c r="G7" s="8" t="s">
        <v>1526</v>
      </c>
      <c r="H7" s="8" t="s">
        <v>1505</v>
      </c>
      <c r="I7" s="8" t="s">
        <v>1537</v>
      </c>
      <c r="J7" s="8" t="s">
        <v>1538</v>
      </c>
      <c r="K7" s="8" t="s">
        <v>1539</v>
      </c>
      <c r="L7" s="8" t="s">
        <v>1540</v>
      </c>
      <c r="M7" s="8" t="s">
        <v>115</v>
      </c>
      <c r="N7" s="8" t="s">
        <v>1531</v>
      </c>
    </row>
    <row r="8" customFormat="false" ht="23.85" hidden="false" customHeight="false" outlineLevel="0" collapsed="false">
      <c r="A8" s="8" t="s">
        <v>713</v>
      </c>
      <c r="B8" s="8" t="s">
        <v>1499</v>
      </c>
      <c r="C8" s="8" t="s">
        <v>1541</v>
      </c>
      <c r="D8" s="8" t="s">
        <v>1542</v>
      </c>
      <c r="E8" s="8" t="s">
        <v>1543</v>
      </c>
      <c r="F8" s="8" t="s">
        <v>1544</v>
      </c>
      <c r="G8" s="8" t="s">
        <v>1128</v>
      </c>
      <c r="H8" s="8" t="s">
        <v>1516</v>
      </c>
      <c r="I8" s="8" t="s">
        <v>157</v>
      </c>
      <c r="J8" s="8" t="s">
        <v>1545</v>
      </c>
      <c r="K8" s="8" t="s">
        <v>1546</v>
      </c>
      <c r="L8" s="8" t="s">
        <v>1547</v>
      </c>
      <c r="M8" s="8" t="s">
        <v>115</v>
      </c>
      <c r="N8" s="8" t="s">
        <v>1510</v>
      </c>
    </row>
    <row r="9" customFormat="false" ht="23.85" hidden="false" customHeight="false" outlineLevel="0" collapsed="false">
      <c r="A9" s="8" t="s">
        <v>1548</v>
      </c>
      <c r="B9" s="8" t="s">
        <v>1499</v>
      </c>
      <c r="C9" s="8" t="s">
        <v>1549</v>
      </c>
      <c r="D9" s="8" t="s">
        <v>1550</v>
      </c>
      <c r="E9" s="8" t="s">
        <v>1551</v>
      </c>
      <c r="F9" s="8" t="s">
        <v>1552</v>
      </c>
      <c r="G9" s="8" t="s">
        <v>1553</v>
      </c>
      <c r="H9" s="8" t="s">
        <v>1516</v>
      </c>
      <c r="I9" s="8" t="s">
        <v>157</v>
      </c>
      <c r="J9" s="8" t="s">
        <v>1554</v>
      </c>
      <c r="K9" s="8" t="s">
        <v>1555</v>
      </c>
      <c r="L9" s="8" t="s">
        <v>1556</v>
      </c>
      <c r="M9" s="8" t="s">
        <v>115</v>
      </c>
      <c r="N9" s="8" t="s">
        <v>1531</v>
      </c>
    </row>
    <row r="10" customFormat="false" ht="23.85" hidden="false" customHeight="false" outlineLevel="0" collapsed="false">
      <c r="A10" s="8" t="s">
        <v>733</v>
      </c>
      <c r="B10" s="8" t="s">
        <v>1499</v>
      </c>
      <c r="C10" s="8" t="s">
        <v>1557</v>
      </c>
      <c r="D10" s="8" t="s">
        <v>1558</v>
      </c>
      <c r="E10" s="8" t="s">
        <v>1559</v>
      </c>
      <c r="F10" s="8" t="s">
        <v>1560</v>
      </c>
      <c r="G10" s="8" t="s">
        <v>1128</v>
      </c>
      <c r="H10" s="8" t="s">
        <v>1516</v>
      </c>
      <c r="I10" s="8" t="s">
        <v>157</v>
      </c>
      <c r="J10" s="8" t="s">
        <v>925</v>
      </c>
      <c r="K10" s="8" t="s">
        <v>1561</v>
      </c>
      <c r="L10" s="8" t="s">
        <v>1562</v>
      </c>
      <c r="M10" s="8" t="s">
        <v>115</v>
      </c>
      <c r="N10" s="8" t="s">
        <v>1510</v>
      </c>
    </row>
    <row r="11" customFormat="false" ht="15" hidden="false" customHeight="false" outlineLevel="0" collapsed="false">
      <c r="A11" s="8" t="s">
        <v>1563</v>
      </c>
      <c r="B11" s="8" t="s">
        <v>1499</v>
      </c>
      <c r="C11" s="8" t="s">
        <v>1564</v>
      </c>
      <c r="D11" s="8" t="s">
        <v>1565</v>
      </c>
      <c r="E11" s="8" t="s">
        <v>1566</v>
      </c>
      <c r="F11" s="8" t="s">
        <v>1567</v>
      </c>
      <c r="G11" s="8" t="s">
        <v>1128</v>
      </c>
      <c r="H11" s="8" t="s">
        <v>1516</v>
      </c>
      <c r="I11" s="8" t="s">
        <v>224</v>
      </c>
      <c r="J11" s="8" t="s">
        <v>1568</v>
      </c>
      <c r="K11" s="8" t="s">
        <v>1569</v>
      </c>
      <c r="L11" s="8" t="s">
        <v>1570</v>
      </c>
      <c r="M11" s="8" t="s">
        <v>115</v>
      </c>
      <c r="N11" s="8" t="s">
        <v>1510</v>
      </c>
    </row>
    <row r="12" customFormat="false" ht="23.85" hidden="false" customHeight="false" outlineLevel="0" collapsed="false">
      <c r="A12" s="8" t="s">
        <v>1571</v>
      </c>
      <c r="B12" s="8" t="s">
        <v>1499</v>
      </c>
      <c r="C12" s="8" t="s">
        <v>1572</v>
      </c>
      <c r="D12" s="8" t="s">
        <v>1573</v>
      </c>
      <c r="E12" s="8" t="s">
        <v>1574</v>
      </c>
      <c r="F12" s="8" t="s">
        <v>1575</v>
      </c>
      <c r="G12" s="8" t="s">
        <v>1209</v>
      </c>
      <c r="H12" s="8" t="s">
        <v>1516</v>
      </c>
      <c r="I12" s="8" t="s">
        <v>224</v>
      </c>
      <c r="J12" s="8" t="s">
        <v>1576</v>
      </c>
      <c r="K12" s="8" t="s">
        <v>1577</v>
      </c>
      <c r="L12" s="8" t="s">
        <v>1578</v>
      </c>
      <c r="M12" s="8" t="s">
        <v>115</v>
      </c>
      <c r="N12" s="8" t="s">
        <v>1579</v>
      </c>
    </row>
    <row r="13" customFormat="false" ht="23.85" hidden="false" customHeight="false" outlineLevel="0" collapsed="false">
      <c r="A13" s="8" t="s">
        <v>1580</v>
      </c>
      <c r="B13" s="8" t="s">
        <v>1499</v>
      </c>
      <c r="C13" s="8" t="s">
        <v>1581</v>
      </c>
      <c r="D13" s="8" t="s">
        <v>1582</v>
      </c>
      <c r="E13" s="8" t="s">
        <v>1583</v>
      </c>
      <c r="F13" s="8" t="s">
        <v>1584</v>
      </c>
      <c r="G13" s="8" t="s">
        <v>1128</v>
      </c>
      <c r="H13" s="8" t="s">
        <v>1516</v>
      </c>
      <c r="I13" s="8" t="s">
        <v>1585</v>
      </c>
      <c r="J13" s="8" t="s">
        <v>1586</v>
      </c>
      <c r="K13" s="8" t="s">
        <v>1587</v>
      </c>
      <c r="L13" s="8" t="s">
        <v>1588</v>
      </c>
      <c r="M13" s="8" t="s">
        <v>115</v>
      </c>
      <c r="N13" s="8" t="s">
        <v>1510</v>
      </c>
    </row>
    <row r="14" customFormat="false" ht="15" hidden="false" customHeight="false" outlineLevel="0" collapsed="false">
      <c r="A14" s="8" t="s">
        <v>755</v>
      </c>
      <c r="B14" s="8" t="s">
        <v>1499</v>
      </c>
      <c r="C14" s="8" t="s">
        <v>1589</v>
      </c>
      <c r="D14" s="8" t="s">
        <v>1590</v>
      </c>
      <c r="E14" s="8" t="s">
        <v>1591</v>
      </c>
      <c r="F14" s="8" t="s">
        <v>1592</v>
      </c>
      <c r="G14" s="8" t="s">
        <v>1128</v>
      </c>
      <c r="H14" s="8" t="s">
        <v>1516</v>
      </c>
      <c r="I14" s="8" t="s">
        <v>1593</v>
      </c>
      <c r="J14" s="8" t="s">
        <v>628</v>
      </c>
      <c r="K14" s="8" t="s">
        <v>1594</v>
      </c>
      <c r="L14" s="8" t="s">
        <v>1595</v>
      </c>
      <c r="M14" s="8" t="s">
        <v>115</v>
      </c>
      <c r="N14" s="8" t="s">
        <v>1510</v>
      </c>
    </row>
    <row r="15" customFormat="false" ht="15" hidden="false" customHeight="false" outlineLevel="0" collapsed="false">
      <c r="A15" s="8" t="s">
        <v>1596</v>
      </c>
      <c r="B15" s="8" t="s">
        <v>1499</v>
      </c>
      <c r="C15" s="8" t="s">
        <v>1597</v>
      </c>
      <c r="D15" s="8" t="s">
        <v>1598</v>
      </c>
      <c r="E15" s="8" t="s">
        <v>1599</v>
      </c>
      <c r="F15" s="8" t="s">
        <v>1536</v>
      </c>
      <c r="G15" s="8" t="s">
        <v>1553</v>
      </c>
      <c r="H15" s="8" t="s">
        <v>1516</v>
      </c>
      <c r="I15" s="8" t="s">
        <v>157</v>
      </c>
      <c r="J15" s="8" t="s">
        <v>1600</v>
      </c>
      <c r="K15" s="8" t="s">
        <v>1601</v>
      </c>
      <c r="L15" s="8" t="s">
        <v>1602</v>
      </c>
      <c r="M15" s="8" t="s">
        <v>115</v>
      </c>
      <c r="N15" s="8" t="s">
        <v>1510</v>
      </c>
    </row>
    <row r="16" customFormat="false" ht="23.85" hidden="false" customHeight="false" outlineLevel="0" collapsed="false">
      <c r="A16" s="8" t="s">
        <v>1603</v>
      </c>
      <c r="B16" s="8" t="s">
        <v>345</v>
      </c>
      <c r="C16" s="8" t="s">
        <v>1604</v>
      </c>
      <c r="D16" s="8" t="s">
        <v>1605</v>
      </c>
      <c r="E16" s="8" t="s">
        <v>1606</v>
      </c>
      <c r="F16" s="8" t="s">
        <v>1607</v>
      </c>
      <c r="G16" s="8" t="s">
        <v>1286</v>
      </c>
      <c r="H16" s="8" t="s">
        <v>1505</v>
      </c>
      <c r="I16" s="8" t="s">
        <v>157</v>
      </c>
      <c r="J16" s="8" t="s">
        <v>1608</v>
      </c>
      <c r="K16" s="8" t="s">
        <v>1609</v>
      </c>
      <c r="L16" s="8" t="s">
        <v>1610</v>
      </c>
      <c r="M16" s="8" t="s">
        <v>115</v>
      </c>
      <c r="N16" s="8" t="s">
        <v>1531</v>
      </c>
    </row>
    <row r="17" customFormat="false" ht="23.85" hidden="false" customHeight="false" outlineLevel="0" collapsed="false">
      <c r="A17" s="8" t="s">
        <v>764</v>
      </c>
      <c r="B17" s="8" t="s">
        <v>345</v>
      </c>
      <c r="C17" s="8" t="s">
        <v>1611</v>
      </c>
      <c r="D17" s="8" t="s">
        <v>1612</v>
      </c>
      <c r="E17" s="8" t="s">
        <v>1613</v>
      </c>
      <c r="F17" s="8" t="s">
        <v>1614</v>
      </c>
      <c r="G17" s="8" t="s">
        <v>1615</v>
      </c>
      <c r="H17" s="8" t="s">
        <v>1516</v>
      </c>
      <c r="I17" s="8" t="s">
        <v>157</v>
      </c>
      <c r="J17" s="8" t="s">
        <v>1616</v>
      </c>
      <c r="K17" s="8" t="s">
        <v>1617</v>
      </c>
      <c r="L17" s="8" t="s">
        <v>1618</v>
      </c>
      <c r="M17" s="8" t="s">
        <v>115</v>
      </c>
      <c r="N17" s="8" t="s">
        <v>1531</v>
      </c>
    </row>
    <row r="18" customFormat="false" ht="23.85" hidden="false" customHeight="false" outlineLevel="0" collapsed="false">
      <c r="A18" s="8" t="s">
        <v>1619</v>
      </c>
      <c r="B18" s="8" t="s">
        <v>345</v>
      </c>
      <c r="C18" s="8" t="s">
        <v>1620</v>
      </c>
      <c r="D18" s="8" t="s">
        <v>1621</v>
      </c>
      <c r="E18" s="8" t="s">
        <v>1622</v>
      </c>
      <c r="F18" s="8" t="s">
        <v>1065</v>
      </c>
      <c r="G18" s="8" t="s">
        <v>1286</v>
      </c>
      <c r="H18" s="8" t="s">
        <v>1505</v>
      </c>
      <c r="I18" s="8" t="s">
        <v>1623</v>
      </c>
      <c r="J18" s="8" t="s">
        <v>1624</v>
      </c>
      <c r="K18" s="8" t="s">
        <v>1625</v>
      </c>
      <c r="L18" s="8" t="s">
        <v>1626</v>
      </c>
      <c r="M18" s="8" t="s">
        <v>115</v>
      </c>
      <c r="N18" s="8" t="s">
        <v>1531</v>
      </c>
    </row>
    <row r="19" customFormat="false" ht="23.85" hidden="false" customHeight="false" outlineLevel="0" collapsed="false">
      <c r="A19" s="8" t="s">
        <v>1627</v>
      </c>
      <c r="B19" s="8" t="s">
        <v>345</v>
      </c>
      <c r="C19" s="8" t="s">
        <v>1628</v>
      </c>
      <c r="D19" s="8" t="s">
        <v>1629</v>
      </c>
      <c r="E19" s="8" t="s">
        <v>1630</v>
      </c>
      <c r="F19" s="8" t="s">
        <v>1631</v>
      </c>
      <c r="G19" s="8" t="s">
        <v>1286</v>
      </c>
      <c r="H19" s="8" t="s">
        <v>1516</v>
      </c>
      <c r="I19" s="8" t="s">
        <v>157</v>
      </c>
      <c r="J19" s="8" t="s">
        <v>1632</v>
      </c>
      <c r="K19" s="8" t="s">
        <v>1633</v>
      </c>
      <c r="L19" s="8" t="s">
        <v>1634</v>
      </c>
      <c r="M19" s="8" t="s">
        <v>115</v>
      </c>
      <c r="N19" s="8" t="s">
        <v>1531</v>
      </c>
    </row>
    <row r="20" customFormat="false" ht="23.85" hidden="false" customHeight="false" outlineLevel="0" collapsed="false">
      <c r="A20" s="8" t="s">
        <v>800</v>
      </c>
      <c r="B20" s="8" t="s">
        <v>345</v>
      </c>
      <c r="C20" s="8" t="s">
        <v>1635</v>
      </c>
      <c r="D20" s="8" t="s">
        <v>1636</v>
      </c>
      <c r="E20" s="8" t="s">
        <v>1637</v>
      </c>
      <c r="F20" s="8" t="s">
        <v>1065</v>
      </c>
      <c r="G20" s="8" t="s">
        <v>1286</v>
      </c>
      <c r="H20" s="8" t="s">
        <v>1505</v>
      </c>
      <c r="I20" s="8" t="s">
        <v>1585</v>
      </c>
      <c r="J20" s="8" t="s">
        <v>1638</v>
      </c>
      <c r="K20" s="8" t="s">
        <v>1639</v>
      </c>
      <c r="L20" s="8" t="s">
        <v>1640</v>
      </c>
      <c r="M20" s="8" t="s">
        <v>115</v>
      </c>
      <c r="N20" s="8" t="s">
        <v>1531</v>
      </c>
    </row>
    <row r="21" customFormat="false" ht="23.85" hidden="false" customHeight="false" outlineLevel="0" collapsed="false">
      <c r="A21" s="8" t="s">
        <v>1641</v>
      </c>
      <c r="B21" s="8" t="s">
        <v>345</v>
      </c>
      <c r="C21" s="8" t="s">
        <v>1642</v>
      </c>
      <c r="D21" s="8" t="s">
        <v>1643</v>
      </c>
      <c r="E21" s="8" t="s">
        <v>1644</v>
      </c>
      <c r="F21" s="8" t="s">
        <v>1074</v>
      </c>
      <c r="G21" s="8" t="s">
        <v>1286</v>
      </c>
      <c r="H21" s="8" t="s">
        <v>1516</v>
      </c>
      <c r="I21" s="8" t="s">
        <v>133</v>
      </c>
      <c r="J21" s="8" t="s">
        <v>1645</v>
      </c>
      <c r="K21" s="8" t="s">
        <v>1646</v>
      </c>
      <c r="L21" s="8" t="s">
        <v>1647</v>
      </c>
      <c r="M21" s="8" t="s">
        <v>115</v>
      </c>
      <c r="N21" s="8" t="s">
        <v>1531</v>
      </c>
    </row>
    <row r="22" customFormat="false" ht="23.85" hidden="false" customHeight="false" outlineLevel="0" collapsed="false">
      <c r="A22" s="8" t="s">
        <v>1648</v>
      </c>
      <c r="B22" s="8" t="s">
        <v>345</v>
      </c>
      <c r="C22" s="8" t="s">
        <v>1649</v>
      </c>
      <c r="D22" s="8" t="s">
        <v>1650</v>
      </c>
      <c r="E22" s="8" t="s">
        <v>1651</v>
      </c>
      <c r="F22" s="8" t="s">
        <v>1652</v>
      </c>
      <c r="G22" s="8" t="s">
        <v>1653</v>
      </c>
      <c r="H22" s="8" t="s">
        <v>1505</v>
      </c>
      <c r="I22" s="8" t="s">
        <v>157</v>
      </c>
      <c r="J22" s="8" t="s">
        <v>1654</v>
      </c>
      <c r="K22" s="8" t="s">
        <v>1655</v>
      </c>
      <c r="L22" s="8" t="s">
        <v>1656</v>
      </c>
      <c r="M22" s="8" t="s">
        <v>115</v>
      </c>
      <c r="N22" s="8" t="s">
        <v>1531</v>
      </c>
    </row>
    <row r="23" customFormat="false" ht="23.85" hidden="false" customHeight="false" outlineLevel="0" collapsed="false">
      <c r="A23" s="8" t="s">
        <v>1657</v>
      </c>
      <c r="B23" s="8" t="s">
        <v>345</v>
      </c>
      <c r="C23" s="8" t="s">
        <v>1658</v>
      </c>
      <c r="D23" s="8" t="s">
        <v>1659</v>
      </c>
      <c r="E23" s="8" t="s">
        <v>1660</v>
      </c>
      <c r="F23" s="8" t="s">
        <v>1661</v>
      </c>
      <c r="G23" s="8" t="s">
        <v>1653</v>
      </c>
      <c r="H23" s="8" t="s">
        <v>1505</v>
      </c>
      <c r="I23" s="8" t="s">
        <v>157</v>
      </c>
      <c r="J23" s="8" t="s">
        <v>1662</v>
      </c>
      <c r="K23" s="8" t="s">
        <v>1663</v>
      </c>
      <c r="L23" s="8" t="s">
        <v>15</v>
      </c>
      <c r="M23" s="8" t="s">
        <v>115</v>
      </c>
      <c r="N23" s="8" t="s">
        <v>1531</v>
      </c>
    </row>
    <row r="24" customFormat="false" ht="23.85" hidden="false" customHeight="false" outlineLevel="0" collapsed="false">
      <c r="A24" s="8" t="s">
        <v>726</v>
      </c>
      <c r="B24" s="8" t="s">
        <v>345</v>
      </c>
      <c r="C24" s="8" t="s">
        <v>1664</v>
      </c>
      <c r="D24" s="8" t="s">
        <v>1665</v>
      </c>
      <c r="E24" s="8" t="s">
        <v>1666</v>
      </c>
      <c r="F24" s="8" t="s">
        <v>1667</v>
      </c>
      <c r="G24" s="8" t="s">
        <v>1240</v>
      </c>
      <c r="H24" s="8" t="s">
        <v>1516</v>
      </c>
      <c r="I24" s="8" t="s">
        <v>157</v>
      </c>
      <c r="J24" s="8" t="s">
        <v>1668</v>
      </c>
      <c r="K24" s="8" t="s">
        <v>1669</v>
      </c>
      <c r="L24" s="8" t="s">
        <v>1670</v>
      </c>
      <c r="M24" s="8" t="s">
        <v>115</v>
      </c>
      <c r="N24" s="8" t="s">
        <v>1531</v>
      </c>
    </row>
    <row r="25" customFormat="false" ht="23.85" hidden="false" customHeight="false" outlineLevel="0" collapsed="false">
      <c r="A25" s="8" t="s">
        <v>849</v>
      </c>
      <c r="B25" s="8" t="s">
        <v>345</v>
      </c>
      <c r="C25" s="8" t="s">
        <v>1671</v>
      </c>
      <c r="D25" s="8" t="s">
        <v>1672</v>
      </c>
      <c r="E25" s="8" t="s">
        <v>1673</v>
      </c>
      <c r="F25" s="8" t="s">
        <v>1674</v>
      </c>
      <c r="G25" s="8" t="s">
        <v>1653</v>
      </c>
      <c r="H25" s="8" t="s">
        <v>1516</v>
      </c>
      <c r="I25" s="8" t="s">
        <v>157</v>
      </c>
      <c r="J25" s="8" t="s">
        <v>1675</v>
      </c>
      <c r="K25" s="8" t="s">
        <v>1676</v>
      </c>
      <c r="L25" s="8" t="s">
        <v>1677</v>
      </c>
      <c r="M25" s="8" t="s">
        <v>115</v>
      </c>
      <c r="N25" s="8" t="s">
        <v>1531</v>
      </c>
    </row>
    <row r="26" customFormat="false" ht="23.85" hidden="false" customHeight="false" outlineLevel="0" collapsed="false">
      <c r="A26" s="8" t="s">
        <v>858</v>
      </c>
      <c r="B26" s="8" t="s">
        <v>345</v>
      </c>
      <c r="C26" s="8" t="s">
        <v>864</v>
      </c>
      <c r="D26" s="8" t="s">
        <v>1678</v>
      </c>
      <c r="E26" s="8" t="s">
        <v>1679</v>
      </c>
      <c r="F26" s="8" t="s">
        <v>1680</v>
      </c>
      <c r="G26" s="8" t="s">
        <v>1653</v>
      </c>
      <c r="H26" s="8" t="s">
        <v>1516</v>
      </c>
      <c r="I26" s="8" t="s">
        <v>157</v>
      </c>
      <c r="J26" s="8" t="s">
        <v>1681</v>
      </c>
      <c r="K26" s="8" t="s">
        <v>1682</v>
      </c>
      <c r="L26" s="8" t="s">
        <v>1677</v>
      </c>
      <c r="M26" s="8" t="s">
        <v>115</v>
      </c>
      <c r="N26" s="8" t="s">
        <v>1531</v>
      </c>
    </row>
    <row r="27" customFormat="false" ht="23.85" hidden="false" customHeight="false" outlineLevel="0" collapsed="false">
      <c r="A27" s="8" t="s">
        <v>872</v>
      </c>
      <c r="B27" s="8" t="s">
        <v>345</v>
      </c>
      <c r="C27" s="8" t="s">
        <v>1683</v>
      </c>
      <c r="D27" s="8" t="s">
        <v>1684</v>
      </c>
      <c r="E27" s="8" t="s">
        <v>1685</v>
      </c>
      <c r="F27" s="8" t="s">
        <v>1686</v>
      </c>
      <c r="G27" s="8" t="s">
        <v>1653</v>
      </c>
      <c r="H27" s="8" t="s">
        <v>1687</v>
      </c>
      <c r="I27" s="8" t="s">
        <v>157</v>
      </c>
      <c r="J27" s="8" t="s">
        <v>1688</v>
      </c>
      <c r="K27" s="8" t="s">
        <v>15</v>
      </c>
      <c r="L27" s="8" t="s">
        <v>1689</v>
      </c>
      <c r="M27" s="8" t="s">
        <v>115</v>
      </c>
      <c r="N27" s="8" t="s">
        <v>1531</v>
      </c>
    </row>
    <row r="28" customFormat="false" ht="23.85" hidden="false" customHeight="false" outlineLevel="0" collapsed="false">
      <c r="A28" s="8" t="s">
        <v>889</v>
      </c>
      <c r="B28" s="8" t="s">
        <v>345</v>
      </c>
      <c r="C28" s="8" t="s">
        <v>888</v>
      </c>
      <c r="D28" s="8" t="s">
        <v>1690</v>
      </c>
      <c r="E28" s="8" t="s">
        <v>1691</v>
      </c>
      <c r="F28" s="8" t="s">
        <v>881</v>
      </c>
      <c r="G28" s="8" t="s">
        <v>1653</v>
      </c>
      <c r="H28" s="8" t="s">
        <v>1516</v>
      </c>
      <c r="I28" s="8" t="s">
        <v>157</v>
      </c>
      <c r="J28" s="8" t="s">
        <v>1692</v>
      </c>
      <c r="K28" s="8" t="s">
        <v>15</v>
      </c>
      <c r="L28" s="8" t="s">
        <v>1677</v>
      </c>
      <c r="M28" s="8" t="s">
        <v>115</v>
      </c>
      <c r="N28" s="8" t="s">
        <v>1531</v>
      </c>
    </row>
    <row r="29" customFormat="false" ht="23.85" hidden="false" customHeight="false" outlineLevel="0" collapsed="false">
      <c r="A29" s="8" t="s">
        <v>903</v>
      </c>
      <c r="B29" s="8" t="s">
        <v>345</v>
      </c>
      <c r="C29" s="8" t="s">
        <v>1473</v>
      </c>
      <c r="D29" s="8" t="s">
        <v>1693</v>
      </c>
      <c r="E29" s="8" t="s">
        <v>1694</v>
      </c>
      <c r="F29" s="8" t="s">
        <v>1695</v>
      </c>
      <c r="G29" s="8" t="s">
        <v>1653</v>
      </c>
      <c r="H29" s="8" t="s">
        <v>1516</v>
      </c>
      <c r="I29" s="8" t="s">
        <v>157</v>
      </c>
      <c r="J29" s="8" t="s">
        <v>1696</v>
      </c>
      <c r="K29" s="8" t="s">
        <v>1697</v>
      </c>
      <c r="L29" s="8" t="s">
        <v>1698</v>
      </c>
      <c r="M29" s="8" t="s">
        <v>115</v>
      </c>
      <c r="N29" s="8" t="s">
        <v>1531</v>
      </c>
    </row>
    <row r="30" customFormat="false" ht="23.85" hidden="false" customHeight="false" outlineLevel="0" collapsed="false">
      <c r="A30" s="8" t="s">
        <v>1699</v>
      </c>
      <c r="B30" s="8" t="s">
        <v>345</v>
      </c>
      <c r="C30" s="8" t="s">
        <v>1700</v>
      </c>
      <c r="D30" s="8" t="s">
        <v>1701</v>
      </c>
      <c r="E30" s="8" t="s">
        <v>1702</v>
      </c>
      <c r="F30" s="8" t="s">
        <v>1703</v>
      </c>
      <c r="G30" s="8" t="s">
        <v>1653</v>
      </c>
      <c r="H30" s="8" t="s">
        <v>1687</v>
      </c>
      <c r="I30" s="8" t="s">
        <v>157</v>
      </c>
      <c r="J30" s="8" t="s">
        <v>1704</v>
      </c>
      <c r="K30" s="8" t="s">
        <v>1705</v>
      </c>
      <c r="L30" s="8" t="s">
        <v>1706</v>
      </c>
      <c r="M30" s="8" t="s">
        <v>115</v>
      </c>
      <c r="N30" s="8" t="s">
        <v>1531</v>
      </c>
    </row>
    <row r="31" customFormat="false" ht="23.85" hidden="false" customHeight="false" outlineLevel="0" collapsed="false">
      <c r="A31" s="8" t="s">
        <v>1707</v>
      </c>
      <c r="B31" s="8" t="s">
        <v>1708</v>
      </c>
      <c r="C31" s="8" t="s">
        <v>1709</v>
      </c>
      <c r="D31" s="8" t="s">
        <v>1710</v>
      </c>
      <c r="E31" s="8" t="s">
        <v>1711</v>
      </c>
      <c r="F31" s="8" t="s">
        <v>1712</v>
      </c>
      <c r="G31" s="8" t="s">
        <v>330</v>
      </c>
      <c r="H31" s="8" t="s">
        <v>1505</v>
      </c>
      <c r="I31" s="8" t="s">
        <v>1713</v>
      </c>
      <c r="J31" s="8" t="s">
        <v>453</v>
      </c>
      <c r="K31" s="8" t="s">
        <v>1714</v>
      </c>
      <c r="L31" s="8" t="s">
        <v>1715</v>
      </c>
      <c r="M31" s="8" t="s">
        <v>115</v>
      </c>
      <c r="N31" s="8" t="s">
        <v>1579</v>
      </c>
    </row>
    <row r="32" customFormat="false" ht="23.85" hidden="false" customHeight="false" outlineLevel="0" collapsed="false">
      <c r="A32" s="8" t="s">
        <v>1716</v>
      </c>
      <c r="B32" s="8" t="s">
        <v>1708</v>
      </c>
      <c r="C32" s="8" t="s">
        <v>1717</v>
      </c>
      <c r="D32" s="8" t="s">
        <v>1718</v>
      </c>
      <c r="E32" s="8" t="s">
        <v>1719</v>
      </c>
      <c r="F32" s="8" t="s">
        <v>1720</v>
      </c>
      <c r="G32" s="8" t="s">
        <v>330</v>
      </c>
      <c r="H32" s="8" t="s">
        <v>1516</v>
      </c>
      <c r="I32" s="8" t="s">
        <v>157</v>
      </c>
      <c r="J32" s="8" t="s">
        <v>1721</v>
      </c>
      <c r="K32" s="8" t="s">
        <v>1722</v>
      </c>
      <c r="L32" s="8" t="s">
        <v>1715</v>
      </c>
      <c r="M32" s="8" t="s">
        <v>115</v>
      </c>
      <c r="N32" s="8" t="s">
        <v>1579</v>
      </c>
    </row>
    <row r="33" customFormat="false" ht="23.85" hidden="false" customHeight="false" outlineLevel="0" collapsed="false">
      <c r="A33" s="8" t="s">
        <v>818</v>
      </c>
      <c r="B33" s="8" t="s">
        <v>1708</v>
      </c>
      <c r="C33" s="8" t="s">
        <v>1723</v>
      </c>
      <c r="D33" s="8" t="s">
        <v>1724</v>
      </c>
      <c r="E33" s="8" t="s">
        <v>1725</v>
      </c>
      <c r="F33" s="8" t="s">
        <v>1726</v>
      </c>
      <c r="G33" s="8" t="s">
        <v>330</v>
      </c>
      <c r="H33" s="8" t="s">
        <v>1505</v>
      </c>
      <c r="I33" s="8" t="s">
        <v>224</v>
      </c>
      <c r="J33" s="8" t="s">
        <v>1727</v>
      </c>
      <c r="K33" s="8" t="s">
        <v>1728</v>
      </c>
      <c r="L33" s="8" t="s">
        <v>1729</v>
      </c>
      <c r="M33" s="8" t="s">
        <v>115</v>
      </c>
      <c r="N33" s="8" t="s">
        <v>1579</v>
      </c>
    </row>
    <row r="34" customFormat="false" ht="23.85" hidden="false" customHeight="false" outlineLevel="0" collapsed="false">
      <c r="A34" s="8" t="s">
        <v>827</v>
      </c>
      <c r="B34" s="8" t="s">
        <v>1708</v>
      </c>
      <c r="C34" s="8" t="s">
        <v>1730</v>
      </c>
      <c r="D34" s="8" t="s">
        <v>1731</v>
      </c>
      <c r="E34" s="8" t="s">
        <v>1732</v>
      </c>
      <c r="F34" s="8" t="s">
        <v>1733</v>
      </c>
      <c r="G34" s="8" t="s">
        <v>330</v>
      </c>
      <c r="H34" s="8" t="s">
        <v>1516</v>
      </c>
      <c r="I34" s="8" t="s">
        <v>1734</v>
      </c>
      <c r="J34" s="8" t="s">
        <v>457</v>
      </c>
      <c r="K34" s="8" t="s">
        <v>1735</v>
      </c>
      <c r="L34" s="8" t="s">
        <v>1736</v>
      </c>
      <c r="M34" s="8" t="s">
        <v>115</v>
      </c>
      <c r="N34" s="8" t="s">
        <v>1579</v>
      </c>
    </row>
    <row r="35" customFormat="false" ht="23.85" hidden="false" customHeight="false" outlineLevel="0" collapsed="false">
      <c r="A35" s="8" t="s">
        <v>1737</v>
      </c>
      <c r="B35" s="8" t="s">
        <v>1708</v>
      </c>
      <c r="C35" s="8" t="s">
        <v>1738</v>
      </c>
      <c r="D35" s="8" t="s">
        <v>1739</v>
      </c>
      <c r="E35" s="8" t="s">
        <v>1740</v>
      </c>
      <c r="F35" s="8" t="s">
        <v>1741</v>
      </c>
      <c r="G35" s="8" t="s">
        <v>1742</v>
      </c>
      <c r="H35" s="8" t="s">
        <v>1505</v>
      </c>
      <c r="I35" s="8" t="s">
        <v>1743</v>
      </c>
      <c r="J35" s="8" t="s">
        <v>1744</v>
      </c>
      <c r="K35" s="8" t="s">
        <v>1745</v>
      </c>
      <c r="L35" s="8" t="s">
        <v>1746</v>
      </c>
      <c r="M35" s="8" t="s">
        <v>115</v>
      </c>
      <c r="N35" s="8" t="s">
        <v>1531</v>
      </c>
    </row>
    <row r="36" customFormat="false" ht="23.85" hidden="false" customHeight="false" outlineLevel="0" collapsed="false">
      <c r="A36" s="8" t="s">
        <v>943</v>
      </c>
      <c r="B36" s="8" t="s">
        <v>386</v>
      </c>
      <c r="C36" s="8" t="s">
        <v>387</v>
      </c>
      <c r="D36" s="8" t="s">
        <v>1747</v>
      </c>
      <c r="E36" s="8" t="s">
        <v>1748</v>
      </c>
      <c r="F36" s="8" t="s">
        <v>1749</v>
      </c>
      <c r="G36" s="8" t="s">
        <v>1369</v>
      </c>
      <c r="H36" s="8" t="s">
        <v>1505</v>
      </c>
      <c r="I36" s="8" t="s">
        <v>1750</v>
      </c>
      <c r="J36" s="8" t="s">
        <v>1751</v>
      </c>
      <c r="K36" s="8" t="s">
        <v>15</v>
      </c>
      <c r="L36" s="8" t="s">
        <v>1752</v>
      </c>
      <c r="M36" s="8" t="s">
        <v>115</v>
      </c>
      <c r="N36" s="8" t="s">
        <v>1579</v>
      </c>
    </row>
    <row r="37" customFormat="false" ht="23.85" hidden="false" customHeight="false" outlineLevel="0" collapsed="false">
      <c r="A37" s="8" t="s">
        <v>1753</v>
      </c>
      <c r="B37" s="8" t="s">
        <v>386</v>
      </c>
      <c r="C37" s="8" t="s">
        <v>1754</v>
      </c>
      <c r="D37" s="8" t="s">
        <v>1755</v>
      </c>
      <c r="E37" s="8" t="s">
        <v>1756</v>
      </c>
      <c r="F37" s="8" t="s">
        <v>1757</v>
      </c>
      <c r="G37" s="8" t="s">
        <v>1369</v>
      </c>
      <c r="H37" s="8" t="s">
        <v>1505</v>
      </c>
      <c r="I37" s="8" t="s">
        <v>1750</v>
      </c>
      <c r="J37" s="8" t="s">
        <v>1758</v>
      </c>
      <c r="K37" s="8" t="s">
        <v>15</v>
      </c>
      <c r="L37" s="8" t="s">
        <v>1752</v>
      </c>
      <c r="M37" s="8" t="s">
        <v>115</v>
      </c>
      <c r="N37" s="8" t="s">
        <v>1579</v>
      </c>
    </row>
    <row r="38" customFormat="false" ht="23.85" hidden="false" customHeight="false" outlineLevel="0" collapsed="false">
      <c r="A38" s="8" t="s">
        <v>1759</v>
      </c>
      <c r="B38" s="8" t="s">
        <v>386</v>
      </c>
      <c r="C38" s="8" t="s">
        <v>1760</v>
      </c>
      <c r="D38" s="8" t="s">
        <v>1761</v>
      </c>
      <c r="E38" s="8" t="s">
        <v>1762</v>
      </c>
      <c r="F38" s="8" t="s">
        <v>1763</v>
      </c>
      <c r="G38" s="8" t="s">
        <v>1369</v>
      </c>
      <c r="H38" s="8" t="s">
        <v>1516</v>
      </c>
      <c r="I38" s="8" t="s">
        <v>1750</v>
      </c>
      <c r="J38" s="8" t="s">
        <v>1764</v>
      </c>
      <c r="K38" s="8" t="s">
        <v>15</v>
      </c>
      <c r="L38" s="8" t="s">
        <v>1765</v>
      </c>
      <c r="M38" s="8" t="s">
        <v>115</v>
      </c>
      <c r="N38" s="8" t="s">
        <v>1579</v>
      </c>
    </row>
    <row r="39" customFormat="false" ht="23.85" hidden="false" customHeight="false" outlineLevel="0" collapsed="false">
      <c r="A39" s="8" t="s">
        <v>957</v>
      </c>
      <c r="B39" s="8" t="s">
        <v>386</v>
      </c>
      <c r="C39" s="8" t="s">
        <v>1766</v>
      </c>
      <c r="D39" s="8" t="s">
        <v>1767</v>
      </c>
      <c r="E39" s="8" t="s">
        <v>1768</v>
      </c>
      <c r="F39" s="8" t="s">
        <v>1065</v>
      </c>
      <c r="G39" s="8" t="s">
        <v>1369</v>
      </c>
      <c r="H39" s="8" t="s">
        <v>1516</v>
      </c>
      <c r="I39" s="8" t="s">
        <v>1750</v>
      </c>
      <c r="J39" s="8" t="s">
        <v>1769</v>
      </c>
      <c r="K39" s="8" t="s">
        <v>15</v>
      </c>
      <c r="L39" s="8" t="s">
        <v>1752</v>
      </c>
      <c r="M39" s="8" t="s">
        <v>115</v>
      </c>
      <c r="N39" s="8" t="s">
        <v>1579</v>
      </c>
    </row>
    <row r="40" customFormat="false" ht="23.85" hidden="false" customHeight="false" outlineLevel="0" collapsed="false">
      <c r="A40" s="8" t="s">
        <v>965</v>
      </c>
      <c r="B40" s="8" t="s">
        <v>386</v>
      </c>
      <c r="C40" s="8" t="s">
        <v>1770</v>
      </c>
      <c r="D40" s="8" t="s">
        <v>1771</v>
      </c>
      <c r="E40" s="8" t="s">
        <v>1772</v>
      </c>
      <c r="F40" s="8" t="s">
        <v>478</v>
      </c>
      <c r="G40" s="8" t="s">
        <v>1369</v>
      </c>
      <c r="H40" s="8" t="s">
        <v>1687</v>
      </c>
      <c r="I40" s="8" t="s">
        <v>157</v>
      </c>
      <c r="J40" s="8" t="s">
        <v>1632</v>
      </c>
      <c r="K40" s="8" t="s">
        <v>15</v>
      </c>
      <c r="L40" s="8" t="s">
        <v>1773</v>
      </c>
      <c r="M40" s="8" t="s">
        <v>115</v>
      </c>
      <c r="N40" s="8" t="s">
        <v>1579</v>
      </c>
    </row>
    <row r="41" customFormat="false" ht="23.85" hidden="false" customHeight="false" outlineLevel="0" collapsed="false">
      <c r="A41" s="8" t="s">
        <v>1774</v>
      </c>
      <c r="B41" s="8" t="s">
        <v>1775</v>
      </c>
      <c r="C41" s="8" t="s">
        <v>1776</v>
      </c>
      <c r="D41" s="8" t="s">
        <v>1777</v>
      </c>
      <c r="E41" s="8" t="s">
        <v>1778</v>
      </c>
      <c r="F41" s="8" t="s">
        <v>1779</v>
      </c>
      <c r="G41" s="8" t="s">
        <v>397</v>
      </c>
      <c r="H41" s="8" t="s">
        <v>1505</v>
      </c>
      <c r="I41" s="8" t="s">
        <v>1780</v>
      </c>
      <c r="J41" s="8" t="s">
        <v>479</v>
      </c>
      <c r="K41" s="8" t="s">
        <v>15</v>
      </c>
      <c r="L41" s="8" t="s">
        <v>1752</v>
      </c>
      <c r="M41" s="8" t="s">
        <v>115</v>
      </c>
      <c r="N41" s="8" t="s">
        <v>1579</v>
      </c>
    </row>
    <row r="42" customFormat="false" ht="23.85" hidden="false" customHeight="false" outlineLevel="0" collapsed="false">
      <c r="A42" s="8" t="s">
        <v>1781</v>
      </c>
      <c r="B42" s="8" t="s">
        <v>1775</v>
      </c>
      <c r="C42" s="8" t="s">
        <v>1782</v>
      </c>
      <c r="D42" s="8" t="s">
        <v>1783</v>
      </c>
      <c r="E42" s="8" t="s">
        <v>1784</v>
      </c>
      <c r="F42" s="8" t="s">
        <v>1065</v>
      </c>
      <c r="G42" s="8" t="s">
        <v>397</v>
      </c>
      <c r="H42" s="8" t="s">
        <v>1505</v>
      </c>
      <c r="I42" s="8" t="s">
        <v>224</v>
      </c>
      <c r="J42" s="8" t="s">
        <v>1785</v>
      </c>
      <c r="K42" s="8" t="s">
        <v>15</v>
      </c>
      <c r="L42" s="8" t="s">
        <v>1752</v>
      </c>
      <c r="M42" s="8" t="s">
        <v>115</v>
      </c>
      <c r="N42" s="8" t="s">
        <v>1579</v>
      </c>
    </row>
    <row r="43" customFormat="false" ht="23.85" hidden="false" customHeight="false" outlineLevel="0" collapsed="false">
      <c r="A43" s="8" t="s">
        <v>1786</v>
      </c>
      <c r="B43" s="8" t="s">
        <v>1775</v>
      </c>
      <c r="C43" s="8" t="s">
        <v>1787</v>
      </c>
      <c r="D43" s="8" t="s">
        <v>1788</v>
      </c>
      <c r="E43" s="8" t="s">
        <v>1789</v>
      </c>
      <c r="F43" s="8" t="s">
        <v>1065</v>
      </c>
      <c r="G43" s="8" t="s">
        <v>397</v>
      </c>
      <c r="H43" s="8" t="s">
        <v>1505</v>
      </c>
      <c r="I43" s="8" t="s">
        <v>224</v>
      </c>
      <c r="J43" s="8" t="s">
        <v>1790</v>
      </c>
      <c r="K43" s="8" t="s">
        <v>1791</v>
      </c>
      <c r="L43" s="8" t="s">
        <v>1752</v>
      </c>
      <c r="M43" s="8" t="s">
        <v>115</v>
      </c>
      <c r="N43" s="8" t="s">
        <v>1579</v>
      </c>
    </row>
    <row r="44" customFormat="false" ht="23.85" hidden="false" customHeight="false" outlineLevel="0" collapsed="false">
      <c r="A44" s="8" t="s">
        <v>994</v>
      </c>
      <c r="B44" s="8" t="s">
        <v>1775</v>
      </c>
      <c r="C44" s="8" t="s">
        <v>1792</v>
      </c>
      <c r="D44" s="8" t="s">
        <v>1793</v>
      </c>
      <c r="E44" s="8" t="s">
        <v>1794</v>
      </c>
      <c r="F44" s="8" t="s">
        <v>1795</v>
      </c>
      <c r="G44" s="8" t="s">
        <v>397</v>
      </c>
      <c r="H44" s="8" t="s">
        <v>1516</v>
      </c>
      <c r="I44" s="8" t="s">
        <v>224</v>
      </c>
      <c r="J44" s="8" t="s">
        <v>1796</v>
      </c>
      <c r="K44" s="8" t="s">
        <v>15</v>
      </c>
      <c r="L44" s="8" t="s">
        <v>1752</v>
      </c>
      <c r="M44" s="8" t="s">
        <v>115</v>
      </c>
      <c r="N44" s="8" t="s">
        <v>1579</v>
      </c>
    </row>
    <row r="45" customFormat="false" ht="23.85" hidden="false" customHeight="false" outlineLevel="0" collapsed="false">
      <c r="A45" s="8" t="s">
        <v>1797</v>
      </c>
      <c r="B45" s="8" t="s">
        <v>1775</v>
      </c>
      <c r="C45" s="8" t="s">
        <v>1422</v>
      </c>
      <c r="D45" s="8" t="s">
        <v>1798</v>
      </c>
      <c r="E45" s="8" t="s">
        <v>1799</v>
      </c>
      <c r="F45" s="8" t="s">
        <v>1800</v>
      </c>
      <c r="G45" s="8" t="s">
        <v>397</v>
      </c>
      <c r="H45" s="8" t="s">
        <v>1505</v>
      </c>
      <c r="I45" s="8" t="s">
        <v>224</v>
      </c>
      <c r="J45" s="8" t="s">
        <v>1801</v>
      </c>
      <c r="K45" s="8" t="s">
        <v>1802</v>
      </c>
      <c r="L45" s="8" t="s">
        <v>1803</v>
      </c>
      <c r="M45" s="8" t="s">
        <v>115</v>
      </c>
      <c r="N45" s="8" t="s">
        <v>1579</v>
      </c>
    </row>
    <row r="46" customFormat="false" ht="23.85" hidden="false" customHeight="false" outlineLevel="0" collapsed="false">
      <c r="A46" s="8" t="s">
        <v>1804</v>
      </c>
      <c r="B46" s="8" t="s">
        <v>1775</v>
      </c>
      <c r="C46" s="8" t="s">
        <v>1805</v>
      </c>
      <c r="D46" s="8" t="s">
        <v>1806</v>
      </c>
      <c r="E46" s="8" t="s">
        <v>1807</v>
      </c>
      <c r="F46" s="8" t="s">
        <v>1808</v>
      </c>
      <c r="G46" s="8" t="s">
        <v>397</v>
      </c>
      <c r="H46" s="8" t="s">
        <v>1505</v>
      </c>
      <c r="I46" s="8" t="s">
        <v>1750</v>
      </c>
      <c r="J46" s="8" t="s">
        <v>1809</v>
      </c>
      <c r="K46" s="8" t="s">
        <v>1810</v>
      </c>
      <c r="L46" s="8" t="s">
        <v>1752</v>
      </c>
      <c r="M46" s="8" t="s">
        <v>115</v>
      </c>
      <c r="N46" s="8" t="s">
        <v>1579</v>
      </c>
    </row>
    <row r="47" customFormat="false" ht="23.85" hidden="false" customHeight="false" outlineLevel="0" collapsed="false">
      <c r="A47" s="8" t="s">
        <v>1811</v>
      </c>
      <c r="B47" s="8" t="s">
        <v>1775</v>
      </c>
      <c r="C47" s="8" t="s">
        <v>1409</v>
      </c>
      <c r="D47" s="8" t="s">
        <v>1812</v>
      </c>
      <c r="E47" s="8" t="s">
        <v>1813</v>
      </c>
      <c r="F47" s="8" t="s">
        <v>1114</v>
      </c>
      <c r="G47" s="8" t="s">
        <v>397</v>
      </c>
      <c r="H47" s="8" t="s">
        <v>1516</v>
      </c>
      <c r="I47" s="8" t="s">
        <v>1814</v>
      </c>
      <c r="J47" s="8" t="s">
        <v>1815</v>
      </c>
      <c r="K47" s="8" t="s">
        <v>15</v>
      </c>
      <c r="L47" s="8" t="s">
        <v>1816</v>
      </c>
      <c r="M47" s="8" t="s">
        <v>115</v>
      </c>
      <c r="N47" s="8" t="s">
        <v>1579</v>
      </c>
    </row>
    <row r="48" customFormat="false" ht="23.85" hidden="false" customHeight="false" outlineLevel="0" collapsed="false">
      <c r="A48" s="8" t="s">
        <v>1000</v>
      </c>
      <c r="B48" s="8" t="s">
        <v>1775</v>
      </c>
      <c r="C48" s="8" t="s">
        <v>1817</v>
      </c>
      <c r="D48" s="8" t="s">
        <v>1818</v>
      </c>
      <c r="E48" s="8" t="s">
        <v>1819</v>
      </c>
      <c r="F48" s="8" t="s">
        <v>1065</v>
      </c>
      <c r="G48" s="8" t="s">
        <v>397</v>
      </c>
      <c r="H48" s="8" t="s">
        <v>1516</v>
      </c>
      <c r="I48" s="8" t="s">
        <v>1750</v>
      </c>
      <c r="J48" s="8" t="s">
        <v>1820</v>
      </c>
      <c r="K48" s="8" t="s">
        <v>15</v>
      </c>
      <c r="L48" s="8" t="s">
        <v>1752</v>
      </c>
      <c r="M48" s="8" t="s">
        <v>115</v>
      </c>
      <c r="N48" s="8" t="s">
        <v>1579</v>
      </c>
    </row>
    <row r="49" customFormat="false" ht="23.85" hidden="false" customHeight="false" outlineLevel="0" collapsed="false">
      <c r="A49" s="8" t="s">
        <v>1821</v>
      </c>
      <c r="B49" s="8" t="s">
        <v>1775</v>
      </c>
      <c r="C49" s="8" t="s">
        <v>1822</v>
      </c>
      <c r="D49" s="8" t="s">
        <v>1823</v>
      </c>
      <c r="E49" s="8" t="s">
        <v>1824</v>
      </c>
      <c r="F49" s="8" t="s">
        <v>1065</v>
      </c>
      <c r="G49" s="8" t="s">
        <v>397</v>
      </c>
      <c r="H49" s="8" t="s">
        <v>1516</v>
      </c>
      <c r="I49" s="8" t="s">
        <v>224</v>
      </c>
      <c r="J49" s="8" t="s">
        <v>1825</v>
      </c>
      <c r="K49" s="8" t="s">
        <v>15</v>
      </c>
      <c r="L49" s="8" t="s">
        <v>1752</v>
      </c>
      <c r="M49" s="8" t="s">
        <v>115</v>
      </c>
      <c r="N49" s="8" t="s">
        <v>1579</v>
      </c>
    </row>
    <row r="50" customFormat="false" ht="23.85" hidden="false" customHeight="false" outlineLevel="0" collapsed="false">
      <c r="A50" s="8" t="s">
        <v>912</v>
      </c>
      <c r="B50" s="8" t="s">
        <v>1826</v>
      </c>
      <c r="C50" s="8" t="s">
        <v>1827</v>
      </c>
      <c r="D50" s="8" t="s">
        <v>1828</v>
      </c>
      <c r="E50" s="8" t="s">
        <v>1829</v>
      </c>
      <c r="F50" s="8" t="s">
        <v>667</v>
      </c>
      <c r="G50" s="8" t="s">
        <v>375</v>
      </c>
      <c r="H50" s="8" t="s">
        <v>1505</v>
      </c>
      <c r="I50" s="8" t="s">
        <v>1517</v>
      </c>
      <c r="J50" s="8" t="s">
        <v>1830</v>
      </c>
      <c r="K50" s="8" t="s">
        <v>15</v>
      </c>
      <c r="L50" s="8" t="s">
        <v>1831</v>
      </c>
      <c r="M50" s="8" t="s">
        <v>115</v>
      </c>
      <c r="N50" s="8" t="s">
        <v>1579</v>
      </c>
    </row>
    <row r="51" customFormat="false" ht="23.85" hidden="false" customHeight="false" outlineLevel="0" collapsed="false">
      <c r="A51" s="8" t="s">
        <v>919</v>
      </c>
      <c r="B51" s="8" t="s">
        <v>1826</v>
      </c>
      <c r="C51" s="8" t="s">
        <v>1832</v>
      </c>
      <c r="D51" s="8" t="s">
        <v>1833</v>
      </c>
      <c r="E51" s="8" t="s">
        <v>1834</v>
      </c>
      <c r="F51" s="8" t="s">
        <v>1438</v>
      </c>
      <c r="G51" s="8" t="s">
        <v>375</v>
      </c>
      <c r="H51" s="8" t="s">
        <v>1505</v>
      </c>
      <c r="I51" s="8" t="s">
        <v>1517</v>
      </c>
      <c r="J51" s="8" t="s">
        <v>1299</v>
      </c>
      <c r="K51" s="8" t="s">
        <v>1835</v>
      </c>
      <c r="L51" s="8" t="s">
        <v>1752</v>
      </c>
      <c r="M51" s="8" t="s">
        <v>115</v>
      </c>
      <c r="N51" s="8" t="s">
        <v>1579</v>
      </c>
    </row>
    <row r="52" customFormat="false" ht="23.85" hidden="false" customHeight="false" outlineLevel="0" collapsed="false">
      <c r="A52" s="8" t="s">
        <v>926</v>
      </c>
      <c r="B52" s="8" t="s">
        <v>1826</v>
      </c>
      <c r="C52" s="8" t="s">
        <v>1836</v>
      </c>
      <c r="D52" s="8" t="s">
        <v>1837</v>
      </c>
      <c r="E52" s="8" t="s">
        <v>1838</v>
      </c>
      <c r="F52" s="8" t="s">
        <v>1441</v>
      </c>
      <c r="G52" s="8" t="s">
        <v>375</v>
      </c>
      <c r="H52" s="8" t="s">
        <v>1516</v>
      </c>
      <c r="I52" s="8" t="s">
        <v>1517</v>
      </c>
      <c r="J52" s="8" t="s">
        <v>1839</v>
      </c>
      <c r="K52" s="8" t="s">
        <v>15</v>
      </c>
      <c r="L52" s="8" t="s">
        <v>1840</v>
      </c>
      <c r="M52" s="8" t="s">
        <v>115</v>
      </c>
      <c r="N52" s="8" t="s">
        <v>1579</v>
      </c>
    </row>
    <row r="53" customFormat="false" ht="23.85" hidden="false" customHeight="false" outlineLevel="0" collapsed="false">
      <c r="A53" s="8" t="s">
        <v>934</v>
      </c>
      <c r="B53" s="8" t="s">
        <v>1826</v>
      </c>
      <c r="C53" s="8" t="s">
        <v>1841</v>
      </c>
      <c r="D53" s="8" t="s">
        <v>1842</v>
      </c>
      <c r="E53" s="8" t="s">
        <v>1843</v>
      </c>
      <c r="F53" s="8" t="s">
        <v>1445</v>
      </c>
      <c r="G53" s="8" t="s">
        <v>375</v>
      </c>
      <c r="H53" s="8" t="s">
        <v>1516</v>
      </c>
      <c r="I53" s="8" t="s">
        <v>1844</v>
      </c>
      <c r="J53" s="8" t="s">
        <v>1845</v>
      </c>
      <c r="K53" s="8" t="s">
        <v>15</v>
      </c>
      <c r="L53" s="8" t="s">
        <v>1840</v>
      </c>
      <c r="M53" s="8" t="s">
        <v>115</v>
      </c>
      <c r="N53" s="8" t="s">
        <v>1579</v>
      </c>
    </row>
    <row r="54" customFormat="false" ht="23.85" hidden="false" customHeight="false" outlineLevel="0" collapsed="false">
      <c r="A54" s="8" t="s">
        <v>1846</v>
      </c>
      <c r="B54" s="8" t="s">
        <v>1826</v>
      </c>
      <c r="C54" s="8" t="s">
        <v>1847</v>
      </c>
      <c r="D54" s="8" t="s">
        <v>1848</v>
      </c>
      <c r="E54" s="8" t="s">
        <v>1849</v>
      </c>
      <c r="F54" s="8" t="s">
        <v>1850</v>
      </c>
      <c r="G54" s="8" t="s">
        <v>375</v>
      </c>
      <c r="H54" s="8" t="s">
        <v>1516</v>
      </c>
      <c r="I54" s="8" t="s">
        <v>1517</v>
      </c>
      <c r="J54" s="8" t="s">
        <v>1851</v>
      </c>
      <c r="K54" s="8" t="s">
        <v>15</v>
      </c>
      <c r="L54" s="8" t="s">
        <v>1752</v>
      </c>
      <c r="M54" s="8" t="s">
        <v>115</v>
      </c>
      <c r="N54" s="8" t="s">
        <v>1579</v>
      </c>
    </row>
    <row r="55" customFormat="false" ht="23.85" hidden="false" customHeight="false" outlineLevel="0" collapsed="false">
      <c r="A55" s="8" t="s">
        <v>1013</v>
      </c>
      <c r="B55" s="8" t="s">
        <v>407</v>
      </c>
      <c r="C55" s="8" t="s">
        <v>1852</v>
      </c>
      <c r="D55" s="8" t="s">
        <v>1853</v>
      </c>
      <c r="E55" s="8" t="s">
        <v>1854</v>
      </c>
      <c r="F55" s="8" t="s">
        <v>1855</v>
      </c>
      <c r="G55" s="8" t="s">
        <v>487</v>
      </c>
      <c r="H55" s="8" t="s">
        <v>1516</v>
      </c>
      <c r="I55" s="8" t="s">
        <v>224</v>
      </c>
      <c r="J55" s="8" t="s">
        <v>485</v>
      </c>
      <c r="K55" s="8" t="s">
        <v>15</v>
      </c>
      <c r="L55" s="8" t="s">
        <v>1856</v>
      </c>
      <c r="M55" s="8" t="s">
        <v>115</v>
      </c>
      <c r="N55" s="8" t="s">
        <v>1579</v>
      </c>
    </row>
    <row r="56" customFormat="false" ht="23.85" hidden="false" customHeight="false" outlineLevel="0" collapsed="false">
      <c r="A56" s="8" t="s">
        <v>1007</v>
      </c>
      <c r="B56" s="8" t="s">
        <v>407</v>
      </c>
      <c r="C56" s="8" t="s">
        <v>1857</v>
      </c>
      <c r="D56" s="8" t="s">
        <v>1858</v>
      </c>
      <c r="E56" s="8" t="s">
        <v>1859</v>
      </c>
      <c r="F56" s="8" t="s">
        <v>1860</v>
      </c>
      <c r="G56" s="8" t="s">
        <v>1653</v>
      </c>
      <c r="H56" s="8" t="s">
        <v>1516</v>
      </c>
      <c r="I56" s="8" t="s">
        <v>1861</v>
      </c>
      <c r="J56" s="8" t="s">
        <v>483</v>
      </c>
      <c r="K56" s="8" t="s">
        <v>15</v>
      </c>
      <c r="L56" s="8" t="s">
        <v>1677</v>
      </c>
      <c r="M56" s="8" t="s">
        <v>115</v>
      </c>
      <c r="N56" s="8" t="s">
        <v>1579</v>
      </c>
    </row>
    <row r="57" customFormat="false" ht="23.85" hidden="false" customHeight="false" outlineLevel="0" collapsed="false">
      <c r="A57" s="8" t="s">
        <v>1862</v>
      </c>
      <c r="B57" s="8" t="s">
        <v>407</v>
      </c>
      <c r="C57" s="8" t="s">
        <v>1863</v>
      </c>
      <c r="D57" s="8" t="s">
        <v>1864</v>
      </c>
      <c r="E57" s="8" t="s">
        <v>1865</v>
      </c>
      <c r="F57" s="8" t="s">
        <v>1866</v>
      </c>
      <c r="G57" s="8" t="s">
        <v>487</v>
      </c>
      <c r="H57" s="8" t="s">
        <v>1516</v>
      </c>
      <c r="I57" s="8" t="s">
        <v>1867</v>
      </c>
      <c r="J57" s="8" t="s">
        <v>1868</v>
      </c>
      <c r="K57" s="8" t="s">
        <v>15</v>
      </c>
      <c r="L57" s="8" t="s">
        <v>1869</v>
      </c>
      <c r="M57" s="8" t="s">
        <v>115</v>
      </c>
      <c r="N57" s="8" t="s">
        <v>1579</v>
      </c>
    </row>
  </sheetData>
  <autoFilter ref="A3:N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60"/>
  </cols>
  <sheetData>
    <row r="1" customFormat="false" ht="17.35" hidden="false" customHeight="false" outlineLevel="0" collapsed="false">
      <c r="A1" s="1" t="s">
        <v>1870</v>
      </c>
    </row>
    <row r="2" customFormat="false" ht="15" hidden="false" customHeight="false" outlineLevel="0" collapsed="false">
      <c r="A2" s="6" t="s">
        <v>51</v>
      </c>
    </row>
    <row r="3" customFormat="false" ht="46.25" hidden="false" customHeight="false" outlineLevel="0" collapsed="false">
      <c r="A3" s="7" t="s">
        <v>1871</v>
      </c>
      <c r="B3" s="7" t="s">
        <v>1872</v>
      </c>
      <c r="C3" s="7" t="s">
        <v>1873</v>
      </c>
      <c r="D3" s="7" t="s">
        <v>1874</v>
      </c>
      <c r="E3" s="7" t="s">
        <v>1875</v>
      </c>
      <c r="F3" s="7" t="s">
        <v>1876</v>
      </c>
      <c r="G3" s="7" t="s">
        <v>1877</v>
      </c>
      <c r="H3" s="7" t="s">
        <v>1878</v>
      </c>
      <c r="I3" s="7" t="s">
        <v>1879</v>
      </c>
      <c r="J3" s="7" t="s">
        <v>1880</v>
      </c>
      <c r="K3" s="7" t="s">
        <v>1881</v>
      </c>
    </row>
    <row r="4" customFormat="false" ht="23.85" hidden="false" customHeight="false" outlineLevel="0" collapsed="false">
      <c r="A4" s="8" t="s">
        <v>1882</v>
      </c>
      <c r="B4" s="8" t="n">
        <v>1000</v>
      </c>
      <c r="C4" s="8" t="n">
        <v>27</v>
      </c>
      <c r="D4" s="8" t="s">
        <v>1883</v>
      </c>
      <c r="E4" s="8" t="s">
        <v>555</v>
      </c>
      <c r="F4" s="8" t="n">
        <v>1000</v>
      </c>
      <c r="G4" s="8" t="n">
        <v>0</v>
      </c>
      <c r="H4" s="8" t="n">
        <v>0</v>
      </c>
      <c r="I4" s="8" t="n">
        <v>953</v>
      </c>
      <c r="J4" s="8" t="n">
        <v>2</v>
      </c>
      <c r="K4" s="8" t="s">
        <v>1884</v>
      </c>
    </row>
    <row r="5" customFormat="false" ht="23.85" hidden="false" customHeight="false" outlineLevel="0" collapsed="false">
      <c r="A5" s="8" t="s">
        <v>1885</v>
      </c>
      <c r="B5" s="8" t="n">
        <v>1008</v>
      </c>
      <c r="C5" s="8" t="n">
        <v>28</v>
      </c>
      <c r="D5" s="8" t="s">
        <v>1883</v>
      </c>
      <c r="E5" s="8" t="s">
        <v>555</v>
      </c>
      <c r="F5" s="8" t="n">
        <v>1000</v>
      </c>
      <c r="G5" s="8" t="n">
        <v>8</v>
      </c>
      <c r="H5" s="8" t="n">
        <v>8</v>
      </c>
      <c r="I5" s="8" t="n">
        <v>966</v>
      </c>
      <c r="J5" s="8" t="n">
        <v>10</v>
      </c>
      <c r="K5" s="8" t="s">
        <v>1886</v>
      </c>
    </row>
    <row r="6" customFormat="false" ht="15" hidden="false" customHeight="false" outlineLevel="0" collapsed="false">
      <c r="A6" s="8" t="s">
        <v>1887</v>
      </c>
      <c r="B6" s="8" t="n">
        <v>1000</v>
      </c>
      <c r="C6" s="8" t="n">
        <v>16</v>
      </c>
      <c r="D6" s="8" t="s">
        <v>1888</v>
      </c>
      <c r="E6" s="8" t="s">
        <v>555</v>
      </c>
      <c r="F6" s="8" t="n">
        <v>1000</v>
      </c>
      <c r="G6" s="8" t="n">
        <v>0</v>
      </c>
      <c r="H6" s="8" t="n">
        <v>0</v>
      </c>
      <c r="I6" s="8" t="n">
        <v>846</v>
      </c>
      <c r="J6" s="8" t="n">
        <v>1</v>
      </c>
      <c r="K6" s="8" t="s">
        <v>1889</v>
      </c>
    </row>
    <row r="7" customFormat="false" ht="15" hidden="false" customHeight="false" outlineLevel="0" collapsed="false">
      <c r="A7" s="8" t="s">
        <v>1890</v>
      </c>
      <c r="B7" s="8" t="n">
        <v>7913</v>
      </c>
      <c r="C7" s="8" t="n">
        <v>12</v>
      </c>
      <c r="D7" s="8" t="s">
        <v>1891</v>
      </c>
      <c r="E7" s="8" t="s">
        <v>647</v>
      </c>
      <c r="F7" s="8" t="n">
        <v>7913</v>
      </c>
      <c r="G7" s="8" t="n">
        <v>0</v>
      </c>
      <c r="H7" s="8" t="n">
        <v>0</v>
      </c>
      <c r="I7" s="8" t="n">
        <v>466</v>
      </c>
      <c r="J7" s="8" t="n">
        <v>1</v>
      </c>
      <c r="K7" s="8"/>
    </row>
    <row r="8" customFormat="false" ht="15" hidden="false" customHeight="false" outlineLevel="0" collapsed="false">
      <c r="A8" s="8" t="s">
        <v>1892</v>
      </c>
      <c r="B8" s="8" t="n">
        <v>35704</v>
      </c>
      <c r="C8" s="8" t="n">
        <v>13</v>
      </c>
      <c r="D8" s="8" t="s">
        <v>1893</v>
      </c>
      <c r="E8" s="8" t="s">
        <v>643</v>
      </c>
      <c r="F8" s="8" t="n">
        <v>35704</v>
      </c>
      <c r="G8" s="8" t="n">
        <v>0</v>
      </c>
      <c r="H8" s="8" t="n">
        <v>0</v>
      </c>
      <c r="I8" s="8" t="n">
        <v>0</v>
      </c>
      <c r="J8" s="8" t="n">
        <v>0</v>
      </c>
      <c r="K8" s="8"/>
    </row>
    <row r="9" customFormat="false" ht="23.85" hidden="false" customHeight="false" outlineLevel="0" collapsed="false">
      <c r="A9" s="8" t="s">
        <v>1894</v>
      </c>
      <c r="B9" s="8" t="n">
        <v>6667</v>
      </c>
      <c r="C9" s="8" t="n">
        <v>17</v>
      </c>
      <c r="D9" s="8" t="s">
        <v>1895</v>
      </c>
      <c r="E9" s="8" t="s">
        <v>1896</v>
      </c>
      <c r="F9" s="8" t="n">
        <v>6667</v>
      </c>
      <c r="G9" s="8" t="n">
        <v>0</v>
      </c>
      <c r="H9" s="8" t="n">
        <v>0</v>
      </c>
      <c r="I9" s="8" t="n">
        <v>0</v>
      </c>
      <c r="J9" s="8" t="n">
        <v>0</v>
      </c>
      <c r="K9" s="8" t="s">
        <v>1897</v>
      </c>
    </row>
    <row r="10" customFormat="false" ht="15" hidden="false" customHeight="false" outlineLevel="0" collapsed="false">
      <c r="A10" s="8" t="s">
        <v>1898</v>
      </c>
      <c r="B10" s="8" t="n">
        <v>9846</v>
      </c>
      <c r="C10" s="8" t="n">
        <v>12</v>
      </c>
      <c r="D10" s="8" t="s">
        <v>1899</v>
      </c>
      <c r="E10" s="8" t="s">
        <v>1900</v>
      </c>
      <c r="F10" s="8" t="n">
        <v>9846</v>
      </c>
      <c r="G10" s="8" t="n">
        <v>0</v>
      </c>
      <c r="H10" s="8" t="n">
        <v>0</v>
      </c>
      <c r="I10" s="8" t="n">
        <v>10494</v>
      </c>
      <c r="J10" s="8" t="n">
        <v>2</v>
      </c>
      <c r="K10" s="8" t="s">
        <v>1901</v>
      </c>
    </row>
    <row r="11" customFormat="false" ht="23.85" hidden="false" customHeight="false" outlineLevel="0" collapsed="false">
      <c r="A11" s="8" t="s">
        <v>1902</v>
      </c>
      <c r="B11" s="8" t="n">
        <v>4799</v>
      </c>
      <c r="C11" s="8" t="n">
        <v>6</v>
      </c>
      <c r="D11" s="8" t="s">
        <v>1903</v>
      </c>
      <c r="E11" s="8" t="s">
        <v>1904</v>
      </c>
      <c r="F11" s="8" t="s">
        <v>94</v>
      </c>
      <c r="G11" s="8" t="s">
        <v>94</v>
      </c>
      <c r="H11" s="8" t="n">
        <v>0</v>
      </c>
      <c r="I11" s="8" t="n">
        <v>40</v>
      </c>
      <c r="J11" s="8" t="n">
        <v>1</v>
      </c>
      <c r="K11" s="8" t="s">
        <v>1905</v>
      </c>
    </row>
    <row r="12" customFormat="false" ht="15" hidden="false" customHeight="false" outlineLevel="0" collapsed="false">
      <c r="A12" s="8" t="s">
        <v>1906</v>
      </c>
      <c r="B12" s="8" t="n">
        <v>35714</v>
      </c>
      <c r="C12" s="8" t="n">
        <v>13</v>
      </c>
      <c r="D12" s="8" t="s">
        <v>1893</v>
      </c>
      <c r="E12" s="8" t="s">
        <v>643</v>
      </c>
      <c r="F12" s="8" t="n">
        <v>35704</v>
      </c>
      <c r="G12" s="8" t="n">
        <v>10</v>
      </c>
      <c r="H12" s="8" t="n">
        <v>10</v>
      </c>
      <c r="I12" s="8" t="n">
        <v>0</v>
      </c>
      <c r="J12" s="8" t="n">
        <v>0</v>
      </c>
      <c r="K12" s="8" t="s">
        <v>1907</v>
      </c>
    </row>
    <row r="15" customFormat="false" ht="15" hidden="false" customHeight="false" outlineLevel="0" collapsed="false">
      <c r="A15" s="5" t="s">
        <v>1908</v>
      </c>
    </row>
    <row r="16" customFormat="false" ht="15" hidden="false" customHeight="false" outlineLevel="0" collapsed="false">
      <c r="A16" s="2" t="str">
        <f aca="false">A4</f>
        <v>T01 Users_1000_Clean</v>
      </c>
      <c r="B16" s="10" t="n">
        <f aca="false">I4/(B4*C4)</f>
        <v>0.0352962962962963</v>
      </c>
    </row>
    <row r="17" customFormat="false" ht="15" hidden="false" customHeight="false" outlineLevel="0" collapsed="false">
      <c r="A17" s="2" t="str">
        <f aca="false">A5</f>
        <v>T01 Users_Messy_Audit</v>
      </c>
      <c r="B17" s="10" t="n">
        <f aca="false">I5/(B5*C5)</f>
        <v>0.0342261904761905</v>
      </c>
    </row>
    <row r="18" customFormat="false" ht="15" hidden="false" customHeight="false" outlineLevel="0" collapsed="false">
      <c r="A18" s="2" t="str">
        <f aca="false">A6</f>
        <v>SUP Users_1000</v>
      </c>
      <c r="B18" s="10" t="n">
        <f aca="false">I6/(B6*C6)</f>
        <v>0.052875</v>
      </c>
    </row>
    <row r="19" customFormat="false" ht="15" hidden="false" customHeight="false" outlineLevel="0" collapsed="false">
      <c r="A19" s="2" t="str">
        <f aca="false">A7</f>
        <v>SUP Sessions</v>
      </c>
      <c r="B19" s="10" t="n">
        <f aca="false">I7/(B7*C7)</f>
        <v>0.00490753612199334</v>
      </c>
    </row>
    <row r="20" customFormat="false" ht="15" hidden="false" customHeight="false" outlineLevel="0" collapsed="false">
      <c r="A20" s="2" t="str">
        <f aca="false">A8</f>
        <v>SUP Feature Events</v>
      </c>
      <c r="B20" s="10" t="n">
        <f aca="false">I8/(B8*C8)</f>
        <v>0</v>
      </c>
    </row>
    <row r="21" customFormat="false" ht="15" hidden="false" customHeight="false" outlineLevel="0" collapsed="false">
      <c r="A21" s="2" t="str">
        <f aca="false">A9</f>
        <v>SUP Daily Activity</v>
      </c>
      <c r="B21" s="10" t="n">
        <f aca="false">I9/(B9*C9)</f>
        <v>0</v>
      </c>
    </row>
    <row r="22" customFormat="false" ht="15" hidden="false" customHeight="false" outlineLevel="0" collapsed="false">
      <c r="A22" s="2" t="str">
        <f aca="false">A10</f>
        <v>SUP Task Activity</v>
      </c>
      <c r="B22" s="10" t="n">
        <f aca="false">I10/(B10*C10)</f>
        <v>0.0888177940280317</v>
      </c>
    </row>
    <row r="23" customFormat="false" ht="15" hidden="false" customHeight="false" outlineLevel="0" collapsed="false">
      <c r="A23" s="2" t="str">
        <f aca="false">A11</f>
        <v>SUP Milestones</v>
      </c>
      <c r="B23" s="10" t="n">
        <f aca="false">I11/(B11*C11)</f>
        <v>0.00138917830103494</v>
      </c>
    </row>
    <row r="24" customFormat="false" ht="15" hidden="false" customHeight="false" outlineLevel="0" collapsed="false">
      <c r="A24" s="2" t="str">
        <f aca="false">A12</f>
        <v>SUP Event audit sheet</v>
      </c>
      <c r="B24" s="10" t="n">
        <f aca="false">I12/(B12*C12)</f>
        <v>0</v>
      </c>
    </row>
    <row r="27" customFormat="false" ht="15" hidden="false" customHeight="false" outlineLevel="0" collapsed="false">
      <c r="A27" s="5" t="s">
        <v>1909</v>
      </c>
    </row>
    <row r="28" customFormat="false" ht="15" hidden="false" customHeight="false" outlineLevel="0" collapsed="false">
      <c r="A28" s="4" t="s">
        <v>550</v>
      </c>
      <c r="B28" s="4" t="s">
        <v>1910</v>
      </c>
      <c r="C28" s="4" t="s">
        <v>1911</v>
      </c>
      <c r="D28" s="4" t="s">
        <v>1912</v>
      </c>
    </row>
    <row r="29" customFormat="false" ht="15" hidden="false" customHeight="false" outlineLevel="0" collapsed="false">
      <c r="A29" s="2" t="s">
        <v>597</v>
      </c>
      <c r="B29" s="2" t="s">
        <v>1171</v>
      </c>
      <c r="C29" s="2" t="n">
        <v>568</v>
      </c>
      <c r="D29" s="11" t="n">
        <f aca="false">C29/SUM($C$29:$C$32)</f>
        <v>0.568</v>
      </c>
    </row>
    <row r="30" customFormat="false" ht="15" hidden="false" customHeight="false" outlineLevel="0" collapsed="false">
      <c r="A30" s="2" t="s">
        <v>597</v>
      </c>
      <c r="B30" s="2" t="s">
        <v>1913</v>
      </c>
      <c r="C30" s="2" t="n">
        <v>283</v>
      </c>
      <c r="D30" s="11" t="n">
        <f aca="false">C30/SUM($C$29:$C$32)</f>
        <v>0.283</v>
      </c>
    </row>
    <row r="31" customFormat="false" ht="15" hidden="false" customHeight="false" outlineLevel="0" collapsed="false">
      <c r="A31" s="2" t="s">
        <v>597</v>
      </c>
      <c r="B31" s="2" t="s">
        <v>1226</v>
      </c>
      <c r="C31" s="2" t="n">
        <v>77</v>
      </c>
      <c r="D31" s="11" t="n">
        <f aca="false">C31/SUM($C$29:$C$32)</f>
        <v>0.077</v>
      </c>
    </row>
    <row r="32" customFormat="false" ht="15" hidden="false" customHeight="false" outlineLevel="0" collapsed="false">
      <c r="A32" s="2" t="s">
        <v>597</v>
      </c>
      <c r="B32" s="2" t="s">
        <v>1914</v>
      </c>
      <c r="C32" s="2" t="n">
        <v>72</v>
      </c>
      <c r="D32" s="11" t="n">
        <f aca="false">C32/SUM($C$29:$C$32)</f>
        <v>0.072</v>
      </c>
    </row>
    <row r="33" customFormat="false" ht="15" hidden="false" customHeight="false" outlineLevel="0" collapsed="false">
      <c r="A33" s="2" t="s">
        <v>599</v>
      </c>
      <c r="B33" s="2" t="s">
        <v>1175</v>
      </c>
      <c r="C33" s="2" t="n">
        <v>855</v>
      </c>
      <c r="D33" s="11" t="n">
        <f aca="false">C33/SUM($C$33:$C$34)</f>
        <v>0.855</v>
      </c>
    </row>
    <row r="34" customFormat="false" ht="15" hidden="false" customHeight="false" outlineLevel="0" collapsed="false">
      <c r="A34" s="2" t="s">
        <v>599</v>
      </c>
      <c r="B34" s="2" t="s">
        <v>1915</v>
      </c>
      <c r="C34" s="2" t="n">
        <v>145</v>
      </c>
      <c r="D34" s="11" t="n">
        <f aca="false">C34/SUM($C$33:$C$34)</f>
        <v>0.145</v>
      </c>
    </row>
    <row r="35" customFormat="false" ht="15" hidden="false" customHeight="false" outlineLevel="0" collapsed="false">
      <c r="A35" s="2" t="s">
        <v>601</v>
      </c>
      <c r="B35" s="2" t="s">
        <v>1179</v>
      </c>
      <c r="C35" s="2" t="n">
        <v>722</v>
      </c>
      <c r="D35" s="11" t="n">
        <f aca="false">C35/SUM($C$35:$C$37)</f>
        <v>0.722</v>
      </c>
    </row>
    <row r="36" customFormat="false" ht="15" hidden="false" customHeight="false" outlineLevel="0" collapsed="false">
      <c r="A36" s="2" t="s">
        <v>601</v>
      </c>
      <c r="B36" s="2" t="s">
        <v>1916</v>
      </c>
      <c r="C36" s="2" t="n">
        <v>146</v>
      </c>
      <c r="D36" s="11" t="n">
        <f aca="false">C36/SUM($C$35:$C$37)</f>
        <v>0.146</v>
      </c>
    </row>
    <row r="37" customFormat="false" ht="15" hidden="false" customHeight="false" outlineLevel="0" collapsed="false">
      <c r="A37" s="2" t="s">
        <v>601</v>
      </c>
      <c r="B37" s="2" t="s">
        <v>1917</v>
      </c>
      <c r="C37" s="2" t="n">
        <v>132</v>
      </c>
      <c r="D37" s="11" t="n">
        <f aca="false">C37/SUM($C$35:$C$37)</f>
        <v>0.132</v>
      </c>
    </row>
    <row r="38" customFormat="false" ht="15" hidden="false" customHeight="false" outlineLevel="0" collapsed="false">
      <c r="A38" s="2" t="s">
        <v>586</v>
      </c>
      <c r="B38" s="2" t="s">
        <v>1158</v>
      </c>
      <c r="C38" s="2" t="n">
        <v>244</v>
      </c>
      <c r="D38" s="11" t="n">
        <f aca="false">C38/SUM($C$38:$C$44)</f>
        <v>0.244</v>
      </c>
    </row>
    <row r="39" customFormat="false" ht="15" hidden="false" customHeight="false" outlineLevel="0" collapsed="false">
      <c r="A39" s="2" t="s">
        <v>586</v>
      </c>
      <c r="B39" s="2" t="s">
        <v>1918</v>
      </c>
      <c r="C39" s="2" t="n">
        <v>217</v>
      </c>
      <c r="D39" s="11" t="n">
        <f aca="false">C39/SUM($C$38:$C$44)</f>
        <v>0.217</v>
      </c>
    </row>
    <row r="40" customFormat="false" ht="15" hidden="false" customHeight="false" outlineLevel="0" collapsed="false">
      <c r="A40" s="2" t="s">
        <v>586</v>
      </c>
      <c r="B40" s="2" t="s">
        <v>1919</v>
      </c>
      <c r="C40" s="2" t="n">
        <v>160</v>
      </c>
      <c r="D40" s="11" t="n">
        <f aca="false">C40/SUM($C$38:$C$44)</f>
        <v>0.16</v>
      </c>
    </row>
    <row r="41" customFormat="false" ht="15" hidden="false" customHeight="false" outlineLevel="0" collapsed="false">
      <c r="A41" s="2" t="s">
        <v>586</v>
      </c>
      <c r="B41" s="2" t="s">
        <v>1826</v>
      </c>
      <c r="C41" s="2" t="n">
        <v>119</v>
      </c>
      <c r="D41" s="11" t="n">
        <f aca="false">C41/SUM($C$38:$C$44)</f>
        <v>0.119</v>
      </c>
    </row>
    <row r="42" customFormat="false" ht="15" hidden="false" customHeight="false" outlineLevel="0" collapsed="false">
      <c r="A42" s="2" t="s">
        <v>586</v>
      </c>
      <c r="B42" s="2" t="s">
        <v>1920</v>
      </c>
      <c r="C42" s="2" t="n">
        <v>103</v>
      </c>
      <c r="D42" s="11" t="n">
        <f aca="false">C42/SUM($C$38:$C$44)</f>
        <v>0.103</v>
      </c>
    </row>
    <row r="43" customFormat="false" ht="15" hidden="false" customHeight="false" outlineLevel="0" collapsed="false">
      <c r="A43" s="2" t="s">
        <v>586</v>
      </c>
      <c r="B43" s="2" t="s">
        <v>1921</v>
      </c>
      <c r="C43" s="2" t="n">
        <v>102</v>
      </c>
      <c r="D43" s="11" t="n">
        <f aca="false">C43/SUM($C$38:$C$44)</f>
        <v>0.102</v>
      </c>
    </row>
    <row r="44" customFormat="false" ht="15" hidden="false" customHeight="false" outlineLevel="0" collapsed="false">
      <c r="A44" s="2" t="s">
        <v>586</v>
      </c>
      <c r="B44" s="2" t="s">
        <v>1922</v>
      </c>
      <c r="C44" s="2" t="n">
        <v>55</v>
      </c>
      <c r="D44" s="11" t="n">
        <f aca="false">C44/SUM($C$38:$C$44)</f>
        <v>0.055</v>
      </c>
    </row>
    <row r="45" customFormat="false" ht="15" hidden="false" customHeight="false" outlineLevel="0" collapsed="false">
      <c r="A45" s="2" t="s">
        <v>592</v>
      </c>
      <c r="B45" s="2" t="s">
        <v>1165</v>
      </c>
      <c r="C45" s="2" t="n">
        <v>659</v>
      </c>
      <c r="D45" s="11" t="n">
        <f aca="false">C45/SUM($C$45:$C$48)</f>
        <v>0.659</v>
      </c>
    </row>
    <row r="46" customFormat="false" ht="15" hidden="false" customHeight="false" outlineLevel="0" collapsed="false">
      <c r="A46" s="2" t="s">
        <v>592</v>
      </c>
      <c r="B46" s="2" t="s">
        <v>1923</v>
      </c>
      <c r="C46" s="2" t="n">
        <v>155</v>
      </c>
      <c r="D46" s="11" t="n">
        <f aca="false">C46/SUM($C$45:$C$48)</f>
        <v>0.155</v>
      </c>
    </row>
    <row r="47" customFormat="false" ht="15" hidden="false" customHeight="false" outlineLevel="0" collapsed="false">
      <c r="A47" s="2" t="s">
        <v>592</v>
      </c>
      <c r="B47" s="2" t="s">
        <v>1924</v>
      </c>
      <c r="C47" s="2" t="n">
        <v>140</v>
      </c>
      <c r="D47" s="11" t="n">
        <f aca="false">C47/SUM($C$45:$C$48)</f>
        <v>0.14</v>
      </c>
    </row>
    <row r="48" customFormat="false" ht="15" hidden="false" customHeight="false" outlineLevel="0" collapsed="false">
      <c r="A48" s="2" t="s">
        <v>592</v>
      </c>
      <c r="B48" s="2" t="s">
        <v>1925</v>
      </c>
      <c r="C48" s="2" t="n">
        <v>46</v>
      </c>
      <c r="D48" s="11" t="n">
        <f aca="false">C48/SUM($C$45:$C$48)</f>
        <v>0.046</v>
      </c>
    </row>
    <row r="49" customFormat="false" ht="15" hidden="false" customHeight="false" outlineLevel="0" collapsed="false">
      <c r="A49" s="2" t="s">
        <v>573</v>
      </c>
      <c r="B49" s="2" t="s">
        <v>1926</v>
      </c>
      <c r="C49" s="2" t="n">
        <v>343</v>
      </c>
      <c r="D49" s="11" t="n">
        <f aca="false">C49/SUM($C$49:$C$51)</f>
        <v>0.343</v>
      </c>
    </row>
    <row r="50" customFormat="false" ht="15" hidden="false" customHeight="false" outlineLevel="0" collapsed="false">
      <c r="A50" s="2" t="s">
        <v>573</v>
      </c>
      <c r="B50" s="2" t="s">
        <v>1927</v>
      </c>
      <c r="C50" s="2" t="n">
        <v>331</v>
      </c>
      <c r="D50" s="11" t="n">
        <f aca="false">C50/SUM($C$49:$C$51)</f>
        <v>0.331</v>
      </c>
    </row>
    <row r="51" customFormat="false" ht="15" hidden="false" customHeight="false" outlineLevel="0" collapsed="false">
      <c r="A51" s="2" t="s">
        <v>573</v>
      </c>
      <c r="B51" s="2" t="s">
        <v>1147</v>
      </c>
      <c r="C51" s="2" t="n">
        <v>326</v>
      </c>
      <c r="D51" s="11" t="n">
        <f aca="false">C51/SUM($C$49:$C$51)</f>
        <v>0.326</v>
      </c>
    </row>
    <row r="52" customFormat="false" ht="15" hidden="false" customHeight="false" outlineLevel="0" collapsed="false">
      <c r="A52" s="2" t="s">
        <v>627</v>
      </c>
      <c r="B52" s="2" t="s">
        <v>1201</v>
      </c>
      <c r="C52" s="2" t="n">
        <v>923</v>
      </c>
      <c r="D52" s="11" t="n">
        <f aca="false">C52/SUM($C$52:$C$53)</f>
        <v>0.923</v>
      </c>
    </row>
    <row r="53" customFormat="false" ht="15" hidden="false" customHeight="false" outlineLevel="0" collapsed="false">
      <c r="A53" s="2" t="s">
        <v>627</v>
      </c>
      <c r="B53" s="2" t="s">
        <v>1915</v>
      </c>
      <c r="C53" s="2" t="n">
        <v>77</v>
      </c>
      <c r="D53" s="11" t="n">
        <f aca="false">C53/SUM($C$52:$C$53)</f>
        <v>0.077</v>
      </c>
    </row>
    <row r="54" customFormat="false" ht="15" hidden="false" customHeight="false" outlineLevel="0" collapsed="false">
      <c r="A54" s="2" t="s">
        <v>629</v>
      </c>
      <c r="B54" s="2" t="s">
        <v>570</v>
      </c>
      <c r="C54" s="2" t="n">
        <v>558</v>
      </c>
      <c r="D54" s="11" t="n">
        <f aca="false">C54/SUM($C$54:$C$55)</f>
        <v>0.558</v>
      </c>
    </row>
    <row r="55" customFormat="false" ht="15" hidden="false" customHeight="false" outlineLevel="0" collapsed="false">
      <c r="A55" s="2" t="s">
        <v>629</v>
      </c>
      <c r="B55" s="2" t="s">
        <v>557</v>
      </c>
      <c r="C55" s="2" t="n">
        <v>442</v>
      </c>
      <c r="D55" s="11" t="n">
        <f aca="false">C55/SUM($C$54:$C$55)</f>
        <v>0.442</v>
      </c>
    </row>
    <row r="56" customFormat="false" ht="15" hidden="false" customHeight="false" outlineLevel="0" collapsed="false">
      <c r="A56" s="2" t="s">
        <v>632</v>
      </c>
      <c r="B56" s="2" t="s">
        <v>1928</v>
      </c>
      <c r="C56" s="2" t="n">
        <v>661</v>
      </c>
      <c r="D56" s="11" t="n">
        <f aca="false">C56/SUM($C$56:$C$57)</f>
        <v>0.661</v>
      </c>
    </row>
    <row r="57" customFormat="false" ht="15" hidden="false" customHeight="false" outlineLevel="0" collapsed="false">
      <c r="A57" s="2" t="s">
        <v>632</v>
      </c>
      <c r="B57" s="2" t="s">
        <v>1204</v>
      </c>
      <c r="C57" s="2" t="n">
        <v>339</v>
      </c>
      <c r="D57" s="11" t="n">
        <f aca="false">C57/SUM($C$56:$C$57)</f>
        <v>0.339</v>
      </c>
    </row>
    <row r="58" customFormat="false" ht="15" hidden="false" customHeight="false" outlineLevel="0" collapsed="false">
      <c r="A58" s="2" t="s">
        <v>622</v>
      </c>
      <c r="B58" s="2" t="s">
        <v>570</v>
      </c>
      <c r="C58" s="2" t="n">
        <v>922</v>
      </c>
      <c r="D58" s="11" t="n">
        <f aca="false">C58/SUM($C$58:$C$59)</f>
        <v>0.922</v>
      </c>
    </row>
    <row r="59" customFormat="false" ht="15" hidden="false" customHeight="false" outlineLevel="0" collapsed="false">
      <c r="A59" s="2" t="s">
        <v>622</v>
      </c>
      <c r="B59" s="2" t="s">
        <v>557</v>
      </c>
      <c r="C59" s="2" t="n">
        <v>78</v>
      </c>
      <c r="D59" s="11" t="n">
        <f aca="false">C59/SUM($C$58:$C$59)</f>
        <v>0.078</v>
      </c>
    </row>
    <row r="60" customFormat="false" ht="15" hidden="false" customHeight="false" outlineLevel="0" collapsed="false">
      <c r="A60" s="2" t="s">
        <v>625</v>
      </c>
      <c r="B60" s="2" t="s">
        <v>570</v>
      </c>
      <c r="C60" s="2" t="n">
        <v>675</v>
      </c>
      <c r="D60" s="11" t="n">
        <f aca="false">C60/SUM($C$60:$C$61)</f>
        <v>0.675</v>
      </c>
    </row>
    <row r="61" customFormat="false" ht="15" hidden="false" customHeight="false" outlineLevel="0" collapsed="false">
      <c r="A61" s="2" t="s">
        <v>625</v>
      </c>
      <c r="B61" s="2" t="s">
        <v>557</v>
      </c>
      <c r="C61" s="2" t="n">
        <v>325</v>
      </c>
      <c r="D61" s="11" t="n">
        <f aca="false">C61/SUM($C$60:$C$61)</f>
        <v>0.325</v>
      </c>
    </row>
  </sheetData>
  <autoFilter ref="A3:K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8" min="7" style="0" width="22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1929</v>
      </c>
    </row>
    <row r="2" customFormat="false" ht="15" hidden="false" customHeight="false" outlineLevel="0" collapsed="false">
      <c r="A2" s="6" t="s">
        <v>51</v>
      </c>
    </row>
    <row r="3" customFormat="false" ht="23.85" hidden="false" customHeight="false" outlineLevel="0" collapsed="false">
      <c r="A3" s="7" t="s">
        <v>1871</v>
      </c>
      <c r="B3" s="7" t="s">
        <v>1930</v>
      </c>
      <c r="C3" s="7" t="s">
        <v>1931</v>
      </c>
      <c r="D3" s="7" t="s">
        <v>1932</v>
      </c>
      <c r="E3" s="7" t="s">
        <v>1933</v>
      </c>
      <c r="F3" s="7" t="s">
        <v>1213</v>
      </c>
      <c r="G3" s="7" t="s">
        <v>1934</v>
      </c>
      <c r="H3" s="7" t="s">
        <v>1935</v>
      </c>
      <c r="I3" s="7" t="s">
        <v>1936</v>
      </c>
    </row>
    <row r="4" customFormat="false" ht="15" hidden="false" customHeight="false" outlineLevel="0" collapsed="false">
      <c r="A4" s="8" t="s">
        <v>1882</v>
      </c>
      <c r="B4" s="8" t="s">
        <v>555</v>
      </c>
      <c r="C4" s="8" t="s">
        <v>1937</v>
      </c>
      <c r="D4" s="8" t="n">
        <v>1000</v>
      </c>
      <c r="E4" s="8" t="n">
        <v>0</v>
      </c>
      <c r="F4" s="8" t="n">
        <v>1000</v>
      </c>
      <c r="G4" s="8"/>
      <c r="H4" s="8"/>
      <c r="I4" s="8"/>
    </row>
    <row r="5" customFormat="false" ht="15" hidden="false" customHeight="false" outlineLevel="0" collapsed="false">
      <c r="A5" s="8" t="s">
        <v>1882</v>
      </c>
      <c r="B5" s="8" t="s">
        <v>562</v>
      </c>
      <c r="C5" s="8" t="s">
        <v>1937</v>
      </c>
      <c r="D5" s="8" t="n">
        <v>1000</v>
      </c>
      <c r="E5" s="8" t="n">
        <v>0</v>
      </c>
      <c r="F5" s="8" t="n">
        <v>404</v>
      </c>
      <c r="G5" s="8"/>
      <c r="H5" s="8"/>
      <c r="I5" s="8"/>
    </row>
    <row r="6" customFormat="false" ht="15" hidden="false" customHeight="false" outlineLevel="0" collapsed="false">
      <c r="A6" s="8" t="s">
        <v>1882</v>
      </c>
      <c r="B6" s="8" t="s">
        <v>567</v>
      </c>
      <c r="C6" s="8" t="s">
        <v>1937</v>
      </c>
      <c r="D6" s="8" t="n">
        <v>1000</v>
      </c>
      <c r="E6" s="8" t="n">
        <v>0</v>
      </c>
      <c r="F6" s="8" t="n">
        <v>1000</v>
      </c>
      <c r="G6" s="8"/>
      <c r="H6" s="8"/>
      <c r="I6" s="8"/>
    </row>
    <row r="7" customFormat="false" ht="15" hidden="false" customHeight="false" outlineLevel="0" collapsed="false">
      <c r="A7" s="8" t="s">
        <v>1882</v>
      </c>
      <c r="B7" s="8" t="s">
        <v>568</v>
      </c>
      <c r="C7" s="8" t="s">
        <v>1938</v>
      </c>
      <c r="D7" s="8" t="n">
        <v>1000</v>
      </c>
      <c r="E7" s="8" t="n">
        <v>0</v>
      </c>
      <c r="F7" s="8" t="n">
        <v>21</v>
      </c>
      <c r="G7" s="8" t="s">
        <v>1939</v>
      </c>
      <c r="H7" s="8" t="s">
        <v>1940</v>
      </c>
      <c r="I7" s="8" t="s">
        <v>1941</v>
      </c>
    </row>
    <row r="8" customFormat="false" ht="15" hidden="false" customHeight="false" outlineLevel="0" collapsed="false">
      <c r="A8" s="8" t="s">
        <v>1882</v>
      </c>
      <c r="B8" s="8" t="s">
        <v>573</v>
      </c>
      <c r="C8" s="8" t="s">
        <v>1937</v>
      </c>
      <c r="D8" s="8" t="n">
        <v>1000</v>
      </c>
      <c r="E8" s="8" t="n">
        <v>0</v>
      </c>
      <c r="F8" s="8" t="n">
        <v>3</v>
      </c>
      <c r="G8" s="8"/>
      <c r="H8" s="8"/>
      <c r="I8" s="8" t="s">
        <v>1942</v>
      </c>
    </row>
    <row r="9" customFormat="false" ht="15" hidden="false" customHeight="false" outlineLevel="0" collapsed="false">
      <c r="A9" s="8" t="s">
        <v>1882</v>
      </c>
      <c r="B9" s="8" t="s">
        <v>576</v>
      </c>
      <c r="C9" s="8" t="s">
        <v>1937</v>
      </c>
      <c r="D9" s="8" t="n">
        <v>1000</v>
      </c>
      <c r="E9" s="8" t="n">
        <v>0</v>
      </c>
      <c r="F9" s="8" t="n">
        <v>17</v>
      </c>
      <c r="G9" s="8"/>
      <c r="H9" s="8"/>
      <c r="I9" s="8" t="s">
        <v>1943</v>
      </c>
    </row>
    <row r="10" customFormat="false" ht="15" hidden="false" customHeight="false" outlineLevel="0" collapsed="false">
      <c r="A10" s="8" t="s">
        <v>1882</v>
      </c>
      <c r="B10" s="8" t="s">
        <v>579</v>
      </c>
      <c r="C10" s="8" t="s">
        <v>1937</v>
      </c>
      <c r="D10" s="8" t="n">
        <v>1000</v>
      </c>
      <c r="E10" s="8" t="n">
        <v>0</v>
      </c>
      <c r="F10" s="8" t="n">
        <v>29</v>
      </c>
      <c r="G10" s="8"/>
      <c r="H10" s="8"/>
      <c r="I10" s="8" t="s">
        <v>1944</v>
      </c>
    </row>
    <row r="11" customFormat="false" ht="23.85" hidden="false" customHeight="false" outlineLevel="0" collapsed="false">
      <c r="A11" s="8" t="s">
        <v>1882</v>
      </c>
      <c r="B11" s="8" t="s">
        <v>582</v>
      </c>
      <c r="C11" s="8" t="s">
        <v>1945</v>
      </c>
      <c r="D11" s="8" t="n">
        <v>1000</v>
      </c>
      <c r="E11" s="8" t="n">
        <v>0</v>
      </c>
      <c r="F11" s="8" t="n">
        <v>999</v>
      </c>
      <c r="G11" s="8" t="s">
        <v>1946</v>
      </c>
      <c r="H11" s="8" t="s">
        <v>1947</v>
      </c>
      <c r="I11" s="8"/>
    </row>
    <row r="12" customFormat="false" ht="15" hidden="false" customHeight="false" outlineLevel="0" collapsed="false">
      <c r="A12" s="8" t="s">
        <v>1882</v>
      </c>
      <c r="B12" s="8" t="s">
        <v>586</v>
      </c>
      <c r="C12" s="8" t="s">
        <v>1937</v>
      </c>
      <c r="D12" s="8" t="n">
        <v>1000</v>
      </c>
      <c r="E12" s="8" t="n">
        <v>0</v>
      </c>
      <c r="F12" s="8" t="n">
        <v>7</v>
      </c>
      <c r="G12" s="8"/>
      <c r="H12" s="8"/>
      <c r="I12" s="8" t="s">
        <v>1948</v>
      </c>
    </row>
    <row r="13" customFormat="false" ht="15" hidden="false" customHeight="false" outlineLevel="0" collapsed="false">
      <c r="A13" s="8" t="s">
        <v>1882</v>
      </c>
      <c r="B13" s="8" t="s">
        <v>588</v>
      </c>
      <c r="C13" s="8" t="s">
        <v>1937</v>
      </c>
      <c r="D13" s="8" t="n">
        <v>119</v>
      </c>
      <c r="E13" s="8" t="n">
        <v>881</v>
      </c>
      <c r="F13" s="8" t="n">
        <v>1</v>
      </c>
      <c r="G13" s="8"/>
      <c r="H13" s="8"/>
      <c r="I13" s="8" t="s">
        <v>1949</v>
      </c>
    </row>
    <row r="14" customFormat="false" ht="15" hidden="false" customHeight="false" outlineLevel="0" collapsed="false">
      <c r="A14" s="8" t="s">
        <v>1882</v>
      </c>
      <c r="B14" s="8" t="s">
        <v>592</v>
      </c>
      <c r="C14" s="8" t="s">
        <v>1937</v>
      </c>
      <c r="D14" s="8" t="n">
        <v>1000</v>
      </c>
      <c r="E14" s="8" t="n">
        <v>0</v>
      </c>
      <c r="F14" s="8" t="n">
        <v>4</v>
      </c>
      <c r="G14" s="8"/>
      <c r="H14" s="8"/>
      <c r="I14" s="8" t="s">
        <v>1950</v>
      </c>
    </row>
    <row r="15" customFormat="false" ht="15" hidden="false" customHeight="false" outlineLevel="0" collapsed="false">
      <c r="A15" s="8" t="s">
        <v>1882</v>
      </c>
      <c r="B15" s="8" t="s">
        <v>594</v>
      </c>
      <c r="C15" s="8" t="s">
        <v>1937</v>
      </c>
      <c r="D15" s="8" t="n">
        <v>1000</v>
      </c>
      <c r="E15" s="8" t="n">
        <v>0</v>
      </c>
      <c r="F15" s="8" t="n">
        <v>1</v>
      </c>
      <c r="G15" s="8"/>
      <c r="H15" s="8"/>
      <c r="I15" s="8" t="s">
        <v>1951</v>
      </c>
    </row>
    <row r="16" customFormat="false" ht="15" hidden="false" customHeight="false" outlineLevel="0" collapsed="false">
      <c r="A16" s="8" t="s">
        <v>1882</v>
      </c>
      <c r="B16" s="8" t="s">
        <v>597</v>
      </c>
      <c r="C16" s="8" t="s">
        <v>1937</v>
      </c>
      <c r="D16" s="8" t="n">
        <v>1000</v>
      </c>
      <c r="E16" s="8" t="n">
        <v>0</v>
      </c>
      <c r="F16" s="8" t="n">
        <v>4</v>
      </c>
      <c r="G16" s="8"/>
      <c r="H16" s="8"/>
      <c r="I16" s="8" t="s">
        <v>1952</v>
      </c>
    </row>
    <row r="17" customFormat="false" ht="15" hidden="false" customHeight="false" outlineLevel="0" collapsed="false">
      <c r="A17" s="8" t="s">
        <v>1882</v>
      </c>
      <c r="B17" s="8" t="s">
        <v>599</v>
      </c>
      <c r="C17" s="8" t="s">
        <v>1937</v>
      </c>
      <c r="D17" s="8" t="n">
        <v>1000</v>
      </c>
      <c r="E17" s="8" t="n">
        <v>0</v>
      </c>
      <c r="F17" s="8" t="n">
        <v>2</v>
      </c>
      <c r="G17" s="8"/>
      <c r="H17" s="8"/>
      <c r="I17" s="8" t="s">
        <v>1953</v>
      </c>
    </row>
    <row r="18" customFormat="false" ht="15" hidden="false" customHeight="false" outlineLevel="0" collapsed="false">
      <c r="A18" s="8" t="s">
        <v>1882</v>
      </c>
      <c r="B18" s="8" t="s">
        <v>601</v>
      </c>
      <c r="C18" s="8" t="s">
        <v>1937</v>
      </c>
      <c r="D18" s="8" t="n">
        <v>1000</v>
      </c>
      <c r="E18" s="8" t="n">
        <v>0</v>
      </c>
      <c r="F18" s="8" t="n">
        <v>3</v>
      </c>
      <c r="G18" s="8"/>
      <c r="H18" s="8"/>
      <c r="I18" s="8" t="s">
        <v>1954</v>
      </c>
    </row>
    <row r="19" customFormat="false" ht="23.85" hidden="false" customHeight="false" outlineLevel="0" collapsed="false">
      <c r="A19" s="8" t="s">
        <v>1882</v>
      </c>
      <c r="B19" s="8" t="s">
        <v>603</v>
      </c>
      <c r="C19" s="8" t="s">
        <v>1945</v>
      </c>
      <c r="D19" s="8" t="n">
        <v>928</v>
      </c>
      <c r="E19" s="8" t="n">
        <v>72</v>
      </c>
      <c r="F19" s="8" t="n">
        <v>899</v>
      </c>
      <c r="G19" s="8" t="s">
        <v>1955</v>
      </c>
      <c r="H19" s="8" t="s">
        <v>1956</v>
      </c>
      <c r="I19" s="8"/>
    </row>
    <row r="20" customFormat="false" ht="15" hidden="false" customHeight="false" outlineLevel="0" collapsed="false">
      <c r="A20" s="8" t="s">
        <v>1882</v>
      </c>
      <c r="B20" s="8" t="s">
        <v>606</v>
      </c>
      <c r="C20" s="8" t="s">
        <v>1938</v>
      </c>
      <c r="D20" s="8" t="n">
        <v>1000</v>
      </c>
      <c r="E20" s="8" t="n">
        <v>0</v>
      </c>
      <c r="F20" s="8" t="n">
        <v>58</v>
      </c>
      <c r="G20" s="8" t="s">
        <v>1957</v>
      </c>
      <c r="H20" s="8" t="s">
        <v>1958</v>
      </c>
      <c r="I20" s="8"/>
    </row>
    <row r="21" customFormat="false" ht="15" hidden="false" customHeight="false" outlineLevel="0" collapsed="false">
      <c r="A21" s="8" t="s">
        <v>1882</v>
      </c>
      <c r="B21" s="8" t="s">
        <v>609</v>
      </c>
      <c r="C21" s="8" t="s">
        <v>1938</v>
      </c>
      <c r="D21" s="8" t="n">
        <v>1000</v>
      </c>
      <c r="E21" s="8" t="n">
        <v>0</v>
      </c>
      <c r="F21" s="8" t="n">
        <v>33</v>
      </c>
      <c r="G21" s="8" t="s">
        <v>1957</v>
      </c>
      <c r="H21" s="8" t="s">
        <v>1959</v>
      </c>
      <c r="I21" s="8" t="s">
        <v>1960</v>
      </c>
    </row>
    <row r="22" customFormat="false" ht="15" hidden="false" customHeight="false" outlineLevel="0" collapsed="false">
      <c r="A22" s="8" t="s">
        <v>1882</v>
      </c>
      <c r="B22" s="8" t="s">
        <v>612</v>
      </c>
      <c r="C22" s="8" t="s">
        <v>1938</v>
      </c>
      <c r="D22" s="8" t="n">
        <v>1000</v>
      </c>
      <c r="E22" s="8" t="n">
        <v>0</v>
      </c>
      <c r="F22" s="8" t="n">
        <v>450</v>
      </c>
      <c r="G22" s="8" t="s">
        <v>1961</v>
      </c>
      <c r="H22" s="8" t="s">
        <v>1962</v>
      </c>
      <c r="I22" s="8"/>
    </row>
    <row r="23" customFormat="false" ht="15" hidden="false" customHeight="false" outlineLevel="0" collapsed="false">
      <c r="A23" s="8" t="s">
        <v>1882</v>
      </c>
      <c r="B23" s="8" t="s">
        <v>614</v>
      </c>
      <c r="C23" s="8" t="s">
        <v>1937</v>
      </c>
      <c r="D23" s="8" t="n">
        <v>1000</v>
      </c>
      <c r="E23" s="8" t="n">
        <v>0</v>
      </c>
      <c r="F23" s="8" t="n">
        <v>1000</v>
      </c>
      <c r="G23" s="8"/>
      <c r="H23" s="8"/>
      <c r="I23" s="8"/>
    </row>
    <row r="24" customFormat="false" ht="15" hidden="false" customHeight="false" outlineLevel="0" collapsed="false">
      <c r="A24" s="8" t="s">
        <v>1882</v>
      </c>
      <c r="B24" s="8" t="s">
        <v>617</v>
      </c>
      <c r="C24" s="8" t="s">
        <v>1963</v>
      </c>
      <c r="D24" s="8" t="n">
        <v>1000</v>
      </c>
      <c r="E24" s="8" t="n">
        <v>0</v>
      </c>
      <c r="F24" s="8" t="n">
        <v>754</v>
      </c>
      <c r="G24" s="8" t="s">
        <v>1964</v>
      </c>
      <c r="H24" s="8" t="s">
        <v>1965</v>
      </c>
      <c r="I24" s="8"/>
    </row>
    <row r="25" customFormat="false" ht="15" hidden="false" customHeight="false" outlineLevel="0" collapsed="false">
      <c r="A25" s="8" t="s">
        <v>1882</v>
      </c>
      <c r="B25" s="8" t="s">
        <v>622</v>
      </c>
      <c r="C25" s="8" t="s">
        <v>1937</v>
      </c>
      <c r="D25" s="8" t="n">
        <v>1000</v>
      </c>
      <c r="E25" s="8" t="n">
        <v>0</v>
      </c>
      <c r="F25" s="8" t="n">
        <v>2</v>
      </c>
      <c r="G25" s="8"/>
      <c r="H25" s="8"/>
      <c r="I25" s="8" t="s">
        <v>1966</v>
      </c>
    </row>
    <row r="26" customFormat="false" ht="15" hidden="false" customHeight="false" outlineLevel="0" collapsed="false">
      <c r="A26" s="8" t="s">
        <v>1882</v>
      </c>
      <c r="B26" s="8" t="s">
        <v>625</v>
      </c>
      <c r="C26" s="8" t="s">
        <v>1937</v>
      </c>
      <c r="D26" s="8" t="n">
        <v>1000</v>
      </c>
      <c r="E26" s="8" t="n">
        <v>0</v>
      </c>
      <c r="F26" s="8" t="n">
        <v>2</v>
      </c>
      <c r="G26" s="8"/>
      <c r="H26" s="8"/>
      <c r="I26" s="8" t="s">
        <v>1967</v>
      </c>
    </row>
    <row r="27" customFormat="false" ht="15" hidden="false" customHeight="false" outlineLevel="0" collapsed="false">
      <c r="A27" s="8" t="s">
        <v>1882</v>
      </c>
      <c r="B27" s="8" t="s">
        <v>627</v>
      </c>
      <c r="C27" s="8" t="s">
        <v>1937</v>
      </c>
      <c r="D27" s="8" t="n">
        <v>1000</v>
      </c>
      <c r="E27" s="8" t="n">
        <v>0</v>
      </c>
      <c r="F27" s="8" t="n">
        <v>2</v>
      </c>
      <c r="G27" s="8"/>
      <c r="H27" s="8"/>
      <c r="I27" s="8" t="s">
        <v>1968</v>
      </c>
    </row>
    <row r="28" customFormat="false" ht="15" hidden="false" customHeight="false" outlineLevel="0" collapsed="false">
      <c r="A28" s="8" t="s">
        <v>1882</v>
      </c>
      <c r="B28" s="8" t="s">
        <v>629</v>
      </c>
      <c r="C28" s="8" t="s">
        <v>1937</v>
      </c>
      <c r="D28" s="8" t="n">
        <v>1000</v>
      </c>
      <c r="E28" s="8" t="n">
        <v>0</v>
      </c>
      <c r="F28" s="8" t="n">
        <v>2</v>
      </c>
      <c r="G28" s="8"/>
      <c r="H28" s="8"/>
      <c r="I28" s="8" t="s">
        <v>1969</v>
      </c>
    </row>
    <row r="29" customFormat="false" ht="15" hidden="false" customHeight="false" outlineLevel="0" collapsed="false">
      <c r="A29" s="8" t="s">
        <v>1882</v>
      </c>
      <c r="B29" s="8" t="s">
        <v>632</v>
      </c>
      <c r="C29" s="8" t="s">
        <v>1937</v>
      </c>
      <c r="D29" s="8" t="n">
        <v>1000</v>
      </c>
      <c r="E29" s="8" t="n">
        <v>0</v>
      </c>
      <c r="F29" s="8" t="n">
        <v>2</v>
      </c>
      <c r="G29" s="8"/>
      <c r="H29" s="8"/>
      <c r="I29" s="8" t="s">
        <v>1970</v>
      </c>
    </row>
    <row r="30" customFormat="false" ht="15" hidden="false" customHeight="false" outlineLevel="0" collapsed="false">
      <c r="A30" s="8" t="s">
        <v>1882</v>
      </c>
      <c r="B30" s="8" t="s">
        <v>634</v>
      </c>
      <c r="C30" s="8" t="s">
        <v>1937</v>
      </c>
      <c r="D30" s="8" t="n">
        <v>1000</v>
      </c>
      <c r="E30" s="8" t="n">
        <v>0</v>
      </c>
      <c r="F30" s="8" t="n">
        <v>1</v>
      </c>
      <c r="G30" s="8"/>
      <c r="H30" s="8"/>
      <c r="I30" s="8" t="s">
        <v>1971</v>
      </c>
    </row>
    <row r="31" customFormat="false" ht="15" hidden="false" customHeight="false" outlineLevel="0" collapsed="false">
      <c r="A31" s="8" t="s">
        <v>1885</v>
      </c>
      <c r="B31" s="8" t="s">
        <v>555</v>
      </c>
      <c r="C31" s="8" t="s">
        <v>1937</v>
      </c>
      <c r="D31" s="8" t="n">
        <v>1008</v>
      </c>
      <c r="E31" s="8" t="n">
        <v>0</v>
      </c>
      <c r="F31" s="8" t="n">
        <v>1000</v>
      </c>
      <c r="G31" s="8"/>
      <c r="H31" s="8"/>
      <c r="I31" s="8"/>
    </row>
    <row r="32" customFormat="false" ht="15" hidden="false" customHeight="false" outlineLevel="0" collapsed="false">
      <c r="A32" s="8" t="s">
        <v>1885</v>
      </c>
      <c r="B32" s="8" t="s">
        <v>562</v>
      </c>
      <c r="C32" s="8" t="s">
        <v>1937</v>
      </c>
      <c r="D32" s="8" t="n">
        <v>1008</v>
      </c>
      <c r="E32" s="8" t="n">
        <v>0</v>
      </c>
      <c r="F32" s="8" t="n">
        <v>404</v>
      </c>
      <c r="G32" s="8"/>
      <c r="H32" s="8"/>
      <c r="I32" s="8"/>
    </row>
    <row r="33" customFormat="false" ht="15" hidden="false" customHeight="false" outlineLevel="0" collapsed="false">
      <c r="A33" s="8" t="s">
        <v>1885</v>
      </c>
      <c r="B33" s="8" t="s">
        <v>567</v>
      </c>
      <c r="C33" s="8" t="s">
        <v>1937</v>
      </c>
      <c r="D33" s="8" t="n">
        <v>1008</v>
      </c>
      <c r="E33" s="8" t="n">
        <v>0</v>
      </c>
      <c r="F33" s="8" t="n">
        <v>1000</v>
      </c>
      <c r="G33" s="8"/>
      <c r="H33" s="8"/>
      <c r="I33" s="8"/>
    </row>
    <row r="34" customFormat="false" ht="15" hidden="false" customHeight="false" outlineLevel="0" collapsed="false">
      <c r="A34" s="8" t="s">
        <v>1885</v>
      </c>
      <c r="B34" s="8" t="s">
        <v>568</v>
      </c>
      <c r="C34" s="8" t="s">
        <v>1937</v>
      </c>
      <c r="D34" s="8" t="n">
        <v>1007</v>
      </c>
      <c r="E34" s="8" t="n">
        <v>1</v>
      </c>
      <c r="F34" s="8" t="n">
        <v>21</v>
      </c>
      <c r="G34" s="8" t="s">
        <v>1972</v>
      </c>
      <c r="H34" s="8" t="s">
        <v>1973</v>
      </c>
      <c r="I34" s="8" t="s">
        <v>1974</v>
      </c>
    </row>
    <row r="35" customFormat="false" ht="15" hidden="false" customHeight="false" outlineLevel="0" collapsed="false">
      <c r="A35" s="8" t="s">
        <v>1885</v>
      </c>
      <c r="B35" s="8" t="s">
        <v>573</v>
      </c>
      <c r="C35" s="8" t="s">
        <v>1937</v>
      </c>
      <c r="D35" s="8" t="n">
        <v>1007</v>
      </c>
      <c r="E35" s="8" t="n">
        <v>1</v>
      </c>
      <c r="F35" s="8" t="n">
        <v>3</v>
      </c>
      <c r="G35" s="8"/>
      <c r="H35" s="8"/>
      <c r="I35" s="8" t="s">
        <v>1975</v>
      </c>
    </row>
    <row r="36" customFormat="false" ht="15" hidden="false" customHeight="false" outlineLevel="0" collapsed="false">
      <c r="A36" s="8" t="s">
        <v>1885</v>
      </c>
      <c r="B36" s="8" t="s">
        <v>576</v>
      </c>
      <c r="C36" s="8" t="s">
        <v>1937</v>
      </c>
      <c r="D36" s="8" t="n">
        <v>1008</v>
      </c>
      <c r="E36" s="8" t="n">
        <v>0</v>
      </c>
      <c r="F36" s="8" t="n">
        <v>17</v>
      </c>
      <c r="G36" s="8"/>
      <c r="H36" s="8"/>
      <c r="I36" s="8" t="s">
        <v>1976</v>
      </c>
    </row>
    <row r="37" customFormat="false" ht="15" hidden="false" customHeight="false" outlineLevel="0" collapsed="false">
      <c r="A37" s="8" t="s">
        <v>1885</v>
      </c>
      <c r="B37" s="8" t="s">
        <v>579</v>
      </c>
      <c r="C37" s="8" t="s">
        <v>1937</v>
      </c>
      <c r="D37" s="8" t="n">
        <v>1007</v>
      </c>
      <c r="E37" s="8" t="n">
        <v>1</v>
      </c>
      <c r="F37" s="8" t="n">
        <v>29</v>
      </c>
      <c r="G37" s="8"/>
      <c r="H37" s="8"/>
      <c r="I37" s="8" t="s">
        <v>1977</v>
      </c>
    </row>
    <row r="38" customFormat="false" ht="15" hidden="false" customHeight="false" outlineLevel="0" collapsed="false">
      <c r="A38" s="8" t="s">
        <v>1885</v>
      </c>
      <c r="B38" s="8" t="s">
        <v>582</v>
      </c>
      <c r="C38" s="8" t="s">
        <v>1937</v>
      </c>
      <c r="D38" s="8" t="n">
        <v>1007</v>
      </c>
      <c r="E38" s="8" t="n">
        <v>1</v>
      </c>
      <c r="F38" s="8" t="n">
        <v>998</v>
      </c>
      <c r="G38" s="8"/>
      <c r="H38" s="8"/>
      <c r="I38" s="8"/>
    </row>
    <row r="39" customFormat="false" ht="15" hidden="false" customHeight="false" outlineLevel="0" collapsed="false">
      <c r="A39" s="8" t="s">
        <v>1885</v>
      </c>
      <c r="B39" s="8" t="s">
        <v>586</v>
      </c>
      <c r="C39" s="8" t="s">
        <v>1937</v>
      </c>
      <c r="D39" s="8" t="n">
        <v>1007</v>
      </c>
      <c r="E39" s="8" t="n">
        <v>1</v>
      </c>
      <c r="F39" s="8" t="n">
        <v>7</v>
      </c>
      <c r="G39" s="8"/>
      <c r="H39" s="8"/>
      <c r="I39" s="8" t="s">
        <v>1978</v>
      </c>
    </row>
    <row r="40" customFormat="false" ht="15" hidden="false" customHeight="false" outlineLevel="0" collapsed="false">
      <c r="A40" s="8" t="s">
        <v>1885</v>
      </c>
      <c r="B40" s="8" t="s">
        <v>588</v>
      </c>
      <c r="C40" s="8" t="s">
        <v>1937</v>
      </c>
      <c r="D40" s="8" t="n">
        <v>123</v>
      </c>
      <c r="E40" s="8" t="n">
        <v>885</v>
      </c>
      <c r="F40" s="8" t="n">
        <v>1</v>
      </c>
      <c r="G40" s="8"/>
      <c r="H40" s="8"/>
      <c r="I40" s="8" t="s">
        <v>1979</v>
      </c>
    </row>
    <row r="41" customFormat="false" ht="15" hidden="false" customHeight="false" outlineLevel="0" collapsed="false">
      <c r="A41" s="8" t="s">
        <v>1885</v>
      </c>
      <c r="B41" s="8" t="s">
        <v>592</v>
      </c>
      <c r="C41" s="8" t="s">
        <v>1937</v>
      </c>
      <c r="D41" s="8" t="n">
        <v>1007</v>
      </c>
      <c r="E41" s="8" t="n">
        <v>1</v>
      </c>
      <c r="F41" s="8" t="n">
        <v>4</v>
      </c>
      <c r="G41" s="8"/>
      <c r="H41" s="8"/>
      <c r="I41" s="8" t="s">
        <v>1980</v>
      </c>
    </row>
    <row r="42" customFormat="false" ht="15" hidden="false" customHeight="false" outlineLevel="0" collapsed="false">
      <c r="A42" s="8" t="s">
        <v>1885</v>
      </c>
      <c r="B42" s="8" t="s">
        <v>594</v>
      </c>
      <c r="C42" s="8" t="s">
        <v>1937</v>
      </c>
      <c r="D42" s="8" t="n">
        <v>1008</v>
      </c>
      <c r="E42" s="8" t="n">
        <v>0</v>
      </c>
      <c r="F42" s="8" t="n">
        <v>1</v>
      </c>
      <c r="G42" s="8"/>
      <c r="H42" s="8"/>
      <c r="I42" s="8" t="s">
        <v>1981</v>
      </c>
    </row>
    <row r="43" customFormat="false" ht="15" hidden="false" customHeight="false" outlineLevel="0" collapsed="false">
      <c r="A43" s="8" t="s">
        <v>1885</v>
      </c>
      <c r="B43" s="8" t="s">
        <v>597</v>
      </c>
      <c r="C43" s="8" t="s">
        <v>1937</v>
      </c>
      <c r="D43" s="8" t="n">
        <v>1008</v>
      </c>
      <c r="E43" s="8" t="n">
        <v>0</v>
      </c>
      <c r="F43" s="8" t="n">
        <v>4</v>
      </c>
      <c r="G43" s="8"/>
      <c r="H43" s="8"/>
      <c r="I43" s="8" t="s">
        <v>1982</v>
      </c>
    </row>
    <row r="44" customFormat="false" ht="15" hidden="false" customHeight="false" outlineLevel="0" collapsed="false">
      <c r="A44" s="8" t="s">
        <v>1885</v>
      </c>
      <c r="B44" s="8" t="s">
        <v>599</v>
      </c>
      <c r="C44" s="8" t="s">
        <v>1937</v>
      </c>
      <c r="D44" s="8" t="n">
        <v>1007</v>
      </c>
      <c r="E44" s="8" t="n">
        <v>1</v>
      </c>
      <c r="F44" s="8" t="n">
        <v>2</v>
      </c>
      <c r="G44" s="8"/>
      <c r="H44" s="8"/>
      <c r="I44" s="8" t="s">
        <v>1983</v>
      </c>
    </row>
    <row r="45" customFormat="false" ht="15" hidden="false" customHeight="false" outlineLevel="0" collapsed="false">
      <c r="A45" s="8" t="s">
        <v>1885</v>
      </c>
      <c r="B45" s="8" t="s">
        <v>601</v>
      </c>
      <c r="C45" s="8" t="s">
        <v>1937</v>
      </c>
      <c r="D45" s="8" t="n">
        <v>1007</v>
      </c>
      <c r="E45" s="8" t="n">
        <v>1</v>
      </c>
      <c r="F45" s="8" t="n">
        <v>3</v>
      </c>
      <c r="G45" s="8"/>
      <c r="H45" s="8"/>
      <c r="I45" s="8" t="s">
        <v>1984</v>
      </c>
    </row>
    <row r="46" customFormat="false" ht="15" hidden="false" customHeight="false" outlineLevel="0" collapsed="false">
      <c r="A46" s="8" t="s">
        <v>1885</v>
      </c>
      <c r="B46" s="8" t="s">
        <v>603</v>
      </c>
      <c r="C46" s="8" t="s">
        <v>1937</v>
      </c>
      <c r="D46" s="8" t="n">
        <v>935</v>
      </c>
      <c r="E46" s="8" t="n">
        <v>73</v>
      </c>
      <c r="F46" s="8" t="n">
        <v>898</v>
      </c>
      <c r="G46" s="8"/>
      <c r="H46" s="8"/>
      <c r="I46" s="8"/>
    </row>
    <row r="47" customFormat="false" ht="15" hidden="false" customHeight="false" outlineLevel="0" collapsed="false">
      <c r="A47" s="8" t="s">
        <v>1885</v>
      </c>
      <c r="B47" s="8" t="s">
        <v>606</v>
      </c>
      <c r="C47" s="8" t="s">
        <v>1937</v>
      </c>
      <c r="D47" s="8" t="n">
        <v>1008</v>
      </c>
      <c r="E47" s="8" t="n">
        <v>0</v>
      </c>
      <c r="F47" s="8" t="n">
        <v>58</v>
      </c>
      <c r="G47" s="8" t="s">
        <v>1957</v>
      </c>
      <c r="H47" s="8" t="s">
        <v>1958</v>
      </c>
      <c r="I47" s="8"/>
    </row>
    <row r="48" customFormat="false" ht="15" hidden="false" customHeight="false" outlineLevel="0" collapsed="false">
      <c r="A48" s="8" t="s">
        <v>1885</v>
      </c>
      <c r="B48" s="8" t="s">
        <v>609</v>
      </c>
      <c r="C48" s="8" t="s">
        <v>1937</v>
      </c>
      <c r="D48" s="8" t="n">
        <v>1008</v>
      </c>
      <c r="E48" s="8" t="n">
        <v>0</v>
      </c>
      <c r="F48" s="8" t="n">
        <v>33</v>
      </c>
      <c r="G48" s="8" t="s">
        <v>1957</v>
      </c>
      <c r="H48" s="8" t="s">
        <v>1959</v>
      </c>
      <c r="I48" s="8" t="s">
        <v>1985</v>
      </c>
    </row>
    <row r="49" customFormat="false" ht="15" hidden="false" customHeight="false" outlineLevel="0" collapsed="false">
      <c r="A49" s="8" t="s">
        <v>1885</v>
      </c>
      <c r="B49" s="8" t="s">
        <v>612</v>
      </c>
      <c r="C49" s="8" t="s">
        <v>1937</v>
      </c>
      <c r="D49" s="8" t="n">
        <v>1008</v>
      </c>
      <c r="E49" s="8" t="n">
        <v>0</v>
      </c>
      <c r="F49" s="8" t="n">
        <v>450</v>
      </c>
      <c r="G49" s="8" t="s">
        <v>1961</v>
      </c>
      <c r="H49" s="8" t="s">
        <v>1962</v>
      </c>
      <c r="I49" s="8"/>
    </row>
    <row r="50" customFormat="false" ht="15" hidden="false" customHeight="false" outlineLevel="0" collapsed="false">
      <c r="A50" s="8" t="s">
        <v>1885</v>
      </c>
      <c r="B50" s="8" t="s">
        <v>614</v>
      </c>
      <c r="C50" s="8" t="s">
        <v>1937</v>
      </c>
      <c r="D50" s="8" t="n">
        <v>1008</v>
      </c>
      <c r="E50" s="8" t="n">
        <v>0</v>
      </c>
      <c r="F50" s="8" t="n">
        <v>1000</v>
      </c>
      <c r="G50" s="8"/>
      <c r="H50" s="8"/>
      <c r="I50" s="8"/>
    </row>
    <row r="51" customFormat="false" ht="15" hidden="false" customHeight="false" outlineLevel="0" collapsed="false">
      <c r="A51" s="8" t="s">
        <v>1885</v>
      </c>
      <c r="B51" s="8" t="s">
        <v>617</v>
      </c>
      <c r="C51" s="8" t="s">
        <v>1937</v>
      </c>
      <c r="D51" s="8" t="n">
        <v>1008</v>
      </c>
      <c r="E51" s="8" t="n">
        <v>0</v>
      </c>
      <c r="F51" s="8" t="n">
        <v>754</v>
      </c>
      <c r="G51" s="8" t="s">
        <v>1964</v>
      </c>
      <c r="H51" s="8" t="s">
        <v>1965</v>
      </c>
      <c r="I51" s="8"/>
    </row>
    <row r="52" customFormat="false" ht="15" hidden="false" customHeight="false" outlineLevel="0" collapsed="false">
      <c r="A52" s="8" t="s">
        <v>1885</v>
      </c>
      <c r="B52" s="8" t="s">
        <v>622</v>
      </c>
      <c r="C52" s="8" t="s">
        <v>1937</v>
      </c>
      <c r="D52" s="8" t="n">
        <v>1008</v>
      </c>
      <c r="E52" s="8" t="n">
        <v>0</v>
      </c>
      <c r="F52" s="8" t="n">
        <v>2</v>
      </c>
      <c r="G52" s="8"/>
      <c r="H52" s="8"/>
      <c r="I52" s="8" t="s">
        <v>1986</v>
      </c>
    </row>
    <row r="53" customFormat="false" ht="15" hidden="false" customHeight="false" outlineLevel="0" collapsed="false">
      <c r="A53" s="8" t="s">
        <v>1885</v>
      </c>
      <c r="B53" s="8" t="s">
        <v>625</v>
      </c>
      <c r="C53" s="8" t="s">
        <v>1937</v>
      </c>
      <c r="D53" s="8" t="n">
        <v>1008</v>
      </c>
      <c r="E53" s="8" t="n">
        <v>0</v>
      </c>
      <c r="F53" s="8" t="n">
        <v>2</v>
      </c>
      <c r="G53" s="8"/>
      <c r="H53" s="8"/>
      <c r="I53" s="8" t="s">
        <v>1987</v>
      </c>
    </row>
    <row r="54" customFormat="false" ht="15" hidden="false" customHeight="false" outlineLevel="0" collapsed="false">
      <c r="A54" s="8" t="s">
        <v>1885</v>
      </c>
      <c r="B54" s="8" t="s">
        <v>627</v>
      </c>
      <c r="C54" s="8" t="s">
        <v>1937</v>
      </c>
      <c r="D54" s="8" t="n">
        <v>1008</v>
      </c>
      <c r="E54" s="8" t="n">
        <v>0</v>
      </c>
      <c r="F54" s="8" t="n">
        <v>2</v>
      </c>
      <c r="G54" s="8"/>
      <c r="H54" s="8"/>
      <c r="I54" s="8" t="s">
        <v>1988</v>
      </c>
    </row>
    <row r="55" customFormat="false" ht="15" hidden="false" customHeight="false" outlineLevel="0" collapsed="false">
      <c r="A55" s="8" t="s">
        <v>1885</v>
      </c>
      <c r="B55" s="8" t="s">
        <v>629</v>
      </c>
      <c r="C55" s="8" t="s">
        <v>1937</v>
      </c>
      <c r="D55" s="8" t="n">
        <v>1008</v>
      </c>
      <c r="E55" s="8" t="n">
        <v>0</v>
      </c>
      <c r="F55" s="8" t="n">
        <v>2</v>
      </c>
      <c r="G55" s="8"/>
      <c r="H55" s="8"/>
      <c r="I55" s="8" t="s">
        <v>1989</v>
      </c>
    </row>
    <row r="56" customFormat="false" ht="15" hidden="false" customHeight="false" outlineLevel="0" collapsed="false">
      <c r="A56" s="8" t="s">
        <v>1885</v>
      </c>
      <c r="B56" s="8" t="s">
        <v>632</v>
      </c>
      <c r="C56" s="8" t="s">
        <v>1937</v>
      </c>
      <c r="D56" s="8" t="n">
        <v>1008</v>
      </c>
      <c r="E56" s="8" t="n">
        <v>0</v>
      </c>
      <c r="F56" s="8" t="n">
        <v>2</v>
      </c>
      <c r="G56" s="8"/>
      <c r="H56" s="8"/>
      <c r="I56" s="8" t="s">
        <v>1990</v>
      </c>
    </row>
    <row r="57" customFormat="false" ht="15" hidden="false" customHeight="false" outlineLevel="0" collapsed="false">
      <c r="A57" s="8" t="s">
        <v>1885</v>
      </c>
      <c r="B57" s="8" t="s">
        <v>634</v>
      </c>
      <c r="C57" s="8" t="s">
        <v>1937</v>
      </c>
      <c r="D57" s="8" t="n">
        <v>1008</v>
      </c>
      <c r="E57" s="8" t="n">
        <v>0</v>
      </c>
      <c r="F57" s="8" t="n">
        <v>1</v>
      </c>
      <c r="G57" s="8"/>
      <c r="H57" s="8"/>
      <c r="I57" s="8" t="s">
        <v>1991</v>
      </c>
    </row>
    <row r="58" customFormat="false" ht="15" hidden="false" customHeight="false" outlineLevel="0" collapsed="false">
      <c r="A58" s="8" t="s">
        <v>1885</v>
      </c>
      <c r="B58" s="8" t="s">
        <v>1992</v>
      </c>
      <c r="C58" s="8" t="s">
        <v>1937</v>
      </c>
      <c r="D58" s="8" t="n">
        <v>1008</v>
      </c>
      <c r="E58" s="8" t="n">
        <v>0</v>
      </c>
      <c r="F58" s="8" t="n">
        <v>1</v>
      </c>
      <c r="G58" s="8"/>
      <c r="H58" s="8"/>
      <c r="I58" s="8" t="s">
        <v>1993</v>
      </c>
    </row>
  </sheetData>
  <autoFilter ref="A3:I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0"/>
    <col collapsed="false" customWidth="true" hidden="false" outlineLevel="0" max="3" min="3" style="0" width="10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1994</v>
      </c>
    </row>
    <row r="2" customFormat="false" ht="15" hidden="false" customHeight="false" outlineLevel="0" collapsed="false">
      <c r="A2" s="6" t="s">
        <v>51</v>
      </c>
    </row>
    <row r="3" customFormat="false" ht="15" hidden="false" customHeight="false" outlineLevel="0" collapsed="false">
      <c r="A3" s="7" t="s">
        <v>1995</v>
      </c>
      <c r="B3" s="7" t="s">
        <v>1996</v>
      </c>
      <c r="C3" s="7" t="s">
        <v>1997</v>
      </c>
      <c r="D3" s="7" t="s">
        <v>1998</v>
      </c>
    </row>
    <row r="4" customFormat="false" ht="15" hidden="false" customHeight="false" outlineLevel="0" collapsed="false">
      <c r="A4" s="8" t="s">
        <v>1999</v>
      </c>
      <c r="B4" s="8" t="s">
        <v>2000</v>
      </c>
      <c r="C4" s="8" t="s">
        <v>2001</v>
      </c>
      <c r="D4" s="8" t="s">
        <v>2002</v>
      </c>
    </row>
    <row r="5" customFormat="false" ht="15" hidden="false" customHeight="false" outlineLevel="0" collapsed="false">
      <c r="A5" s="8" t="s">
        <v>2003</v>
      </c>
      <c r="B5" s="8" t="s">
        <v>2000</v>
      </c>
      <c r="C5" s="8" t="s">
        <v>2004</v>
      </c>
      <c r="D5" s="8" t="s">
        <v>2002</v>
      </c>
    </row>
    <row r="6" customFormat="false" ht="15" hidden="false" customHeight="false" outlineLevel="0" collapsed="false">
      <c r="A6" s="8" t="s">
        <v>2005</v>
      </c>
      <c r="B6" s="8" t="s">
        <v>2000</v>
      </c>
      <c r="C6" s="8" t="s">
        <v>2006</v>
      </c>
      <c r="D6" s="8" t="s">
        <v>2002</v>
      </c>
    </row>
    <row r="7" customFormat="false" ht="15" hidden="false" customHeight="false" outlineLevel="0" collapsed="false">
      <c r="A7" s="8" t="s">
        <v>2007</v>
      </c>
      <c r="B7" s="8" t="s">
        <v>2008</v>
      </c>
      <c r="C7" s="8" t="s">
        <v>2009</v>
      </c>
      <c r="D7" s="8" t="s">
        <v>15</v>
      </c>
    </row>
    <row r="8" customFormat="false" ht="15" hidden="false" customHeight="false" outlineLevel="0" collapsed="false">
      <c r="A8" s="8" t="s">
        <v>2010</v>
      </c>
      <c r="B8" s="8" t="s">
        <v>2008</v>
      </c>
      <c r="C8" s="8" t="s">
        <v>2011</v>
      </c>
      <c r="D8" s="8" t="s">
        <v>15</v>
      </c>
    </row>
    <row r="9" customFormat="false" ht="15" hidden="false" customHeight="false" outlineLevel="0" collapsed="false">
      <c r="A9" s="8" t="s">
        <v>2012</v>
      </c>
      <c r="B9" s="8" t="s">
        <v>2008</v>
      </c>
      <c r="C9" s="8" t="s">
        <v>2013</v>
      </c>
      <c r="D9" s="8" t="s">
        <v>15</v>
      </c>
    </row>
    <row r="10" customFormat="false" ht="15" hidden="false" customHeight="false" outlineLevel="0" collapsed="false">
      <c r="A10" s="8" t="s">
        <v>2014</v>
      </c>
      <c r="B10" s="8" t="s">
        <v>2008</v>
      </c>
      <c r="C10" s="8" t="s">
        <v>2015</v>
      </c>
      <c r="D10" s="8" t="s">
        <v>15</v>
      </c>
    </row>
    <row r="11" customFormat="false" ht="15" hidden="false" customHeight="false" outlineLevel="0" collapsed="false">
      <c r="A11" s="8" t="s">
        <v>2016</v>
      </c>
      <c r="B11" s="8" t="s">
        <v>2008</v>
      </c>
      <c r="C11" s="8" t="s">
        <v>2017</v>
      </c>
      <c r="D11" s="8" t="s">
        <v>15</v>
      </c>
    </row>
    <row r="12" customFormat="false" ht="15" hidden="false" customHeight="false" outlineLevel="0" collapsed="false">
      <c r="A12" s="8" t="s">
        <v>2018</v>
      </c>
      <c r="B12" s="8" t="s">
        <v>2000</v>
      </c>
      <c r="C12" s="8" t="s">
        <v>2019</v>
      </c>
      <c r="D12" s="8" t="s">
        <v>15</v>
      </c>
    </row>
    <row r="13" customFormat="false" ht="15" hidden="false" customHeight="false" outlineLevel="0" collapsed="false">
      <c r="A13" s="8" t="s">
        <v>2020</v>
      </c>
      <c r="B13" s="8" t="s">
        <v>2000</v>
      </c>
      <c r="C13" s="8" t="s">
        <v>2021</v>
      </c>
      <c r="D13" s="8"/>
    </row>
    <row r="14" customFormat="false" ht="15" hidden="false" customHeight="false" outlineLevel="0" collapsed="false">
      <c r="A14" s="8" t="s">
        <v>2022</v>
      </c>
      <c r="B14" s="8" t="s">
        <v>2000</v>
      </c>
      <c r="C14" s="8" t="s">
        <v>2023</v>
      </c>
      <c r="D14" s="8"/>
    </row>
    <row r="15" customFormat="false" ht="15" hidden="false" customHeight="false" outlineLevel="0" collapsed="false">
      <c r="A15" s="8" t="s">
        <v>2024</v>
      </c>
      <c r="B15" s="8" t="s">
        <v>2000</v>
      </c>
      <c r="C15" s="8" t="s">
        <v>2025</v>
      </c>
      <c r="D15" s="8"/>
    </row>
    <row r="16" customFormat="false" ht="15" hidden="false" customHeight="false" outlineLevel="0" collapsed="false">
      <c r="A16" s="8" t="s">
        <v>2026</v>
      </c>
      <c r="B16" s="8" t="s">
        <v>2000</v>
      </c>
      <c r="C16" s="8" t="s">
        <v>2027</v>
      </c>
      <c r="D16" s="8"/>
    </row>
    <row r="17" customFormat="false" ht="15" hidden="false" customHeight="false" outlineLevel="0" collapsed="false">
      <c r="A17" s="8" t="s">
        <v>2028</v>
      </c>
      <c r="B17" s="8" t="s">
        <v>2000</v>
      </c>
      <c r="C17" s="8" t="s">
        <v>2027</v>
      </c>
      <c r="D17" s="8"/>
    </row>
    <row r="18" customFormat="false" ht="15" hidden="false" customHeight="false" outlineLevel="0" collapsed="false">
      <c r="A18" s="8" t="s">
        <v>2029</v>
      </c>
      <c r="B18" s="8" t="s">
        <v>2000</v>
      </c>
      <c r="C18" s="8" t="s">
        <v>2030</v>
      </c>
      <c r="D18" s="8"/>
    </row>
    <row r="19" customFormat="false" ht="15" hidden="false" customHeight="false" outlineLevel="0" collapsed="false">
      <c r="A19" s="8" t="s">
        <v>2031</v>
      </c>
      <c r="B19" s="8" t="s">
        <v>2032</v>
      </c>
      <c r="C19" s="8" t="s">
        <v>2033</v>
      </c>
      <c r="D19" s="8"/>
    </row>
    <row r="20" customFormat="false" ht="23.85" hidden="false" customHeight="false" outlineLevel="0" collapsed="false">
      <c r="A20" s="8" t="s">
        <v>2034</v>
      </c>
      <c r="B20" s="8" t="s">
        <v>2035</v>
      </c>
      <c r="C20" s="8" t="s">
        <v>2036</v>
      </c>
      <c r="D20" s="8"/>
    </row>
  </sheetData>
  <autoFilter ref="A3:D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2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2037</v>
      </c>
    </row>
    <row r="2" customFormat="false" ht="15" hidden="false" customHeight="false" outlineLevel="0" collapsed="false">
      <c r="A2" s="6" t="s">
        <v>51</v>
      </c>
    </row>
    <row r="3" customFormat="false" ht="15" hidden="false" customHeight="false" outlineLevel="0" collapsed="false">
      <c r="A3" s="7" t="s">
        <v>2038</v>
      </c>
      <c r="B3" s="7" t="s">
        <v>2039</v>
      </c>
      <c r="C3" s="7" t="s">
        <v>2040</v>
      </c>
      <c r="D3" s="7" t="s">
        <v>2041</v>
      </c>
    </row>
    <row r="4" customFormat="false" ht="23.85" hidden="false" customHeight="false" outlineLevel="0" collapsed="false">
      <c r="A4" s="8" t="s">
        <v>2042</v>
      </c>
      <c r="B4" s="8" t="s">
        <v>557</v>
      </c>
      <c r="C4" s="8" t="s">
        <v>2043</v>
      </c>
      <c r="D4" s="8" t="s">
        <v>15</v>
      </c>
    </row>
    <row r="5" customFormat="false" ht="23.85" hidden="false" customHeight="false" outlineLevel="0" collapsed="false">
      <c r="A5" s="8" t="s">
        <v>2044</v>
      </c>
      <c r="B5" s="8" t="s">
        <v>557</v>
      </c>
      <c r="C5" s="8" t="s">
        <v>2045</v>
      </c>
      <c r="D5" s="8" t="s">
        <v>2046</v>
      </c>
    </row>
    <row r="6" customFormat="false" ht="15" hidden="false" customHeight="false" outlineLevel="0" collapsed="false">
      <c r="A6" s="8" t="s">
        <v>2047</v>
      </c>
      <c r="B6" s="8" t="s">
        <v>557</v>
      </c>
      <c r="C6" s="8" t="s">
        <v>2048</v>
      </c>
      <c r="D6" s="8" t="s">
        <v>2049</v>
      </c>
    </row>
    <row r="7" customFormat="false" ht="15" hidden="false" customHeight="false" outlineLevel="0" collapsed="false">
      <c r="A7" s="8" t="s">
        <v>2050</v>
      </c>
      <c r="B7" s="8" t="s">
        <v>557</v>
      </c>
      <c r="C7" s="8" t="s">
        <v>2051</v>
      </c>
      <c r="D7" s="8" t="s">
        <v>2052</v>
      </c>
    </row>
    <row r="8" customFormat="false" ht="15" hidden="false" customHeight="false" outlineLevel="0" collapsed="false">
      <c r="A8" s="8" t="s">
        <v>2053</v>
      </c>
      <c r="B8" s="8" t="s">
        <v>557</v>
      </c>
      <c r="C8" s="8" t="s">
        <v>2054</v>
      </c>
      <c r="D8" s="8" t="s">
        <v>2055</v>
      </c>
    </row>
    <row r="9" customFormat="false" ht="15" hidden="false" customHeight="false" outlineLevel="0" collapsed="false">
      <c r="A9" s="8" t="s">
        <v>2056</v>
      </c>
      <c r="B9" s="8" t="s">
        <v>557</v>
      </c>
      <c r="C9" s="8" t="s">
        <v>2057</v>
      </c>
      <c r="D9" s="8" t="s">
        <v>2058</v>
      </c>
    </row>
    <row r="10" customFormat="false" ht="15" hidden="false" customHeight="false" outlineLevel="0" collapsed="false">
      <c r="A10" s="8" t="s">
        <v>2059</v>
      </c>
      <c r="B10" s="8" t="s">
        <v>557</v>
      </c>
      <c r="C10" s="8" t="s">
        <v>2060</v>
      </c>
      <c r="D10" s="8" t="s">
        <v>2061</v>
      </c>
    </row>
    <row r="11" customFormat="false" ht="23.85" hidden="false" customHeight="false" outlineLevel="0" collapsed="false">
      <c r="A11" s="8" t="s">
        <v>2062</v>
      </c>
      <c r="B11" s="8" t="s">
        <v>2063</v>
      </c>
      <c r="C11" s="8" t="s">
        <v>2064</v>
      </c>
      <c r="D11" s="8" t="s">
        <v>2065</v>
      </c>
    </row>
    <row r="12" customFormat="false" ht="23.85" hidden="false" customHeight="false" outlineLevel="0" collapsed="false">
      <c r="A12" s="8" t="s">
        <v>2066</v>
      </c>
      <c r="B12" s="8" t="s">
        <v>2067</v>
      </c>
      <c r="C12" s="8" t="s">
        <v>2068</v>
      </c>
      <c r="D12" s="8" t="s">
        <v>2069</v>
      </c>
    </row>
    <row r="13" customFormat="false" ht="23.85" hidden="false" customHeight="false" outlineLevel="0" collapsed="false">
      <c r="A13" s="8" t="s">
        <v>2070</v>
      </c>
      <c r="B13" s="8" t="s">
        <v>2067</v>
      </c>
      <c r="C13" s="8" t="s">
        <v>2071</v>
      </c>
      <c r="D13" s="8" t="s">
        <v>2072</v>
      </c>
    </row>
    <row r="14" customFormat="false" ht="15" hidden="false" customHeight="false" outlineLevel="0" collapsed="false">
      <c r="A14" s="8" t="s">
        <v>2073</v>
      </c>
      <c r="B14" s="8" t="s">
        <v>2067</v>
      </c>
      <c r="C14" s="8" t="s">
        <v>2074</v>
      </c>
      <c r="D14" s="8" t="s">
        <v>2075</v>
      </c>
    </row>
    <row r="15" customFormat="false" ht="23.85" hidden="false" customHeight="false" outlineLevel="0" collapsed="false">
      <c r="A15" s="8" t="s">
        <v>2076</v>
      </c>
      <c r="B15" s="8" t="s">
        <v>2077</v>
      </c>
      <c r="C15" s="8" t="s">
        <v>2078</v>
      </c>
      <c r="D15" s="8" t="s">
        <v>2079</v>
      </c>
    </row>
    <row r="16" customFormat="false" ht="15" hidden="false" customHeight="false" outlineLevel="0" collapsed="false">
      <c r="A16" s="8" t="s">
        <v>2080</v>
      </c>
      <c r="B16" s="8" t="s">
        <v>570</v>
      </c>
      <c r="C16" s="8" t="s">
        <v>2081</v>
      </c>
      <c r="D16" s="8" t="s">
        <v>2082</v>
      </c>
    </row>
    <row r="17" customFormat="false" ht="15" hidden="false" customHeight="false" outlineLevel="0" collapsed="false">
      <c r="A17" s="8" t="s">
        <v>2083</v>
      </c>
      <c r="B17" s="8" t="s">
        <v>570</v>
      </c>
      <c r="C17" s="8" t="s">
        <v>2084</v>
      </c>
      <c r="D17" s="8" t="s">
        <v>1369</v>
      </c>
    </row>
    <row r="18" customFormat="false" ht="15" hidden="false" customHeight="false" outlineLevel="0" collapsed="false">
      <c r="A18" s="8" t="s">
        <v>2085</v>
      </c>
      <c r="B18" s="8" t="s">
        <v>570</v>
      </c>
      <c r="C18" s="8" t="s">
        <v>2086</v>
      </c>
      <c r="D18" s="8" t="s">
        <v>2087</v>
      </c>
    </row>
    <row r="19" customFormat="false" ht="15" hidden="false" customHeight="false" outlineLevel="0" collapsed="false">
      <c r="A19" s="8" t="s">
        <v>2088</v>
      </c>
      <c r="B19" s="8" t="s">
        <v>570</v>
      </c>
      <c r="C19" s="8" t="s">
        <v>2089</v>
      </c>
      <c r="D19" s="8" t="s">
        <v>2090</v>
      </c>
    </row>
    <row r="20" customFormat="false" ht="15" hidden="false" customHeight="false" outlineLevel="0" collapsed="false">
      <c r="A20" s="8" t="s">
        <v>2091</v>
      </c>
      <c r="B20" s="8" t="s">
        <v>570</v>
      </c>
      <c r="C20" s="8" t="s">
        <v>2092</v>
      </c>
      <c r="D20" s="8" t="s">
        <v>2093</v>
      </c>
    </row>
  </sheetData>
  <autoFilter ref="A3:D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26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0" min="10" style="0" width="32"/>
    <col collapsed="false" customWidth="true" hidden="false" outlineLevel="0" max="11" min="11" style="0" width="18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" t="s">
        <v>2094</v>
      </c>
    </row>
    <row r="2" customFormat="false" ht="15" hidden="false" customHeight="false" outlineLevel="0" collapsed="false">
      <c r="A2" s="6" t="s">
        <v>51</v>
      </c>
    </row>
    <row r="3" customFormat="false" ht="15" hidden="false" customHeight="false" outlineLevel="0" collapsed="false">
      <c r="A3" s="7" t="s">
        <v>2095</v>
      </c>
      <c r="B3" s="7" t="s">
        <v>1871</v>
      </c>
      <c r="C3" s="7" t="s">
        <v>550</v>
      </c>
      <c r="D3" s="7" t="s">
        <v>2096</v>
      </c>
      <c r="E3" s="7" t="s">
        <v>2097</v>
      </c>
      <c r="F3" s="7" t="s">
        <v>2098</v>
      </c>
      <c r="G3" s="7" t="s">
        <v>2099</v>
      </c>
      <c r="H3" s="7" t="s">
        <v>2100</v>
      </c>
      <c r="I3" s="7" t="s">
        <v>2101</v>
      </c>
      <c r="J3" s="7" t="s">
        <v>2102</v>
      </c>
      <c r="K3" s="7" t="s">
        <v>1244</v>
      </c>
      <c r="L3" s="7" t="s">
        <v>57</v>
      </c>
    </row>
    <row r="4" customFormat="false" ht="23.85" hidden="false" customHeight="false" outlineLevel="0" collapsed="false">
      <c r="A4" s="8" t="s">
        <v>2103</v>
      </c>
      <c r="B4" s="8" t="s">
        <v>2104</v>
      </c>
      <c r="C4" s="8" t="s">
        <v>2105</v>
      </c>
      <c r="D4" s="8" t="s">
        <v>2106</v>
      </c>
      <c r="E4" s="8" t="s">
        <v>2107</v>
      </c>
      <c r="F4" s="8" t="s">
        <v>132</v>
      </c>
      <c r="G4" s="8" t="s">
        <v>2108</v>
      </c>
      <c r="H4" s="8" t="s">
        <v>2109</v>
      </c>
      <c r="I4" s="8" t="s">
        <v>2110</v>
      </c>
      <c r="J4" s="8" t="s">
        <v>2111</v>
      </c>
      <c r="K4" s="8" t="s">
        <v>2112</v>
      </c>
      <c r="L4" s="8" t="s">
        <v>115</v>
      </c>
    </row>
    <row r="5" customFormat="false" ht="23.85" hidden="false" customHeight="false" outlineLevel="0" collapsed="false">
      <c r="A5" s="8" t="s">
        <v>2113</v>
      </c>
      <c r="B5" s="8" t="s">
        <v>2104</v>
      </c>
      <c r="C5" s="8" t="s">
        <v>579</v>
      </c>
      <c r="D5" s="8" t="s">
        <v>2114</v>
      </c>
      <c r="E5" s="8" t="s">
        <v>2115</v>
      </c>
      <c r="F5" s="8" t="s">
        <v>156</v>
      </c>
      <c r="G5" s="8" t="s">
        <v>2116</v>
      </c>
      <c r="H5" s="8" t="s">
        <v>2117</v>
      </c>
      <c r="I5" s="8" t="s">
        <v>2118</v>
      </c>
      <c r="J5" s="8" t="s">
        <v>2119</v>
      </c>
      <c r="K5" s="8" t="s">
        <v>133</v>
      </c>
      <c r="L5" s="8" t="s">
        <v>115</v>
      </c>
    </row>
    <row r="6" customFormat="false" ht="15" hidden="false" customHeight="false" outlineLevel="0" collapsed="false">
      <c r="A6" s="8" t="s">
        <v>2120</v>
      </c>
      <c r="B6" s="8" t="s">
        <v>2104</v>
      </c>
      <c r="C6" s="8" t="s">
        <v>586</v>
      </c>
      <c r="D6" s="8" t="s">
        <v>2114</v>
      </c>
      <c r="E6" s="8" t="s">
        <v>2121</v>
      </c>
      <c r="F6" s="8" t="s">
        <v>132</v>
      </c>
      <c r="G6" s="8" t="s">
        <v>2122</v>
      </c>
      <c r="H6" s="8" t="s">
        <v>2123</v>
      </c>
      <c r="I6" s="8" t="s">
        <v>2124</v>
      </c>
      <c r="J6" s="8" t="s">
        <v>2125</v>
      </c>
      <c r="K6" s="8" t="s">
        <v>133</v>
      </c>
      <c r="L6" s="8" t="s">
        <v>115</v>
      </c>
    </row>
    <row r="7" customFormat="false" ht="15" hidden="false" customHeight="false" outlineLevel="0" collapsed="false">
      <c r="A7" s="8" t="s">
        <v>2126</v>
      </c>
      <c r="B7" s="8" t="s">
        <v>2104</v>
      </c>
      <c r="C7" s="8" t="s">
        <v>592</v>
      </c>
      <c r="D7" s="8" t="s">
        <v>2114</v>
      </c>
      <c r="E7" s="8" t="s">
        <v>2127</v>
      </c>
      <c r="F7" s="8" t="s">
        <v>156</v>
      </c>
      <c r="G7" s="8" t="s">
        <v>2122</v>
      </c>
      <c r="H7" s="8" t="s">
        <v>2128</v>
      </c>
      <c r="I7" s="8" t="s">
        <v>2129</v>
      </c>
      <c r="J7" s="8" t="s">
        <v>2130</v>
      </c>
      <c r="K7" s="8" t="s">
        <v>133</v>
      </c>
      <c r="L7" s="8" t="s">
        <v>115</v>
      </c>
    </row>
    <row r="8" customFormat="false" ht="15" hidden="false" customHeight="false" outlineLevel="0" collapsed="false">
      <c r="A8" s="8" t="s">
        <v>2131</v>
      </c>
      <c r="B8" s="8" t="s">
        <v>2104</v>
      </c>
      <c r="C8" s="8" t="s">
        <v>601</v>
      </c>
      <c r="D8" s="8" t="s">
        <v>2114</v>
      </c>
      <c r="E8" s="8" t="s">
        <v>2132</v>
      </c>
      <c r="F8" s="8" t="s">
        <v>156</v>
      </c>
      <c r="G8" s="8" t="s">
        <v>2122</v>
      </c>
      <c r="H8" s="8" t="s">
        <v>2133</v>
      </c>
      <c r="I8" s="8" t="s">
        <v>2134</v>
      </c>
      <c r="J8" s="8" t="s">
        <v>2135</v>
      </c>
      <c r="K8" s="8" t="s">
        <v>133</v>
      </c>
      <c r="L8" s="8" t="s">
        <v>115</v>
      </c>
    </row>
    <row r="9" customFormat="false" ht="15" hidden="false" customHeight="false" outlineLevel="0" collapsed="false">
      <c r="A9" s="8" t="s">
        <v>2136</v>
      </c>
      <c r="B9" s="8" t="s">
        <v>2104</v>
      </c>
      <c r="C9" s="8" t="s">
        <v>599</v>
      </c>
      <c r="D9" s="8" t="s">
        <v>2114</v>
      </c>
      <c r="E9" s="8" t="s">
        <v>2137</v>
      </c>
      <c r="F9" s="8" t="s">
        <v>156</v>
      </c>
      <c r="G9" s="8" t="s">
        <v>2122</v>
      </c>
      <c r="H9" s="8" t="s">
        <v>2133</v>
      </c>
      <c r="I9" s="8" t="s">
        <v>2138</v>
      </c>
      <c r="J9" s="8" t="s">
        <v>2135</v>
      </c>
      <c r="K9" s="8" t="s">
        <v>133</v>
      </c>
      <c r="L9" s="8" t="s">
        <v>115</v>
      </c>
    </row>
    <row r="10" customFormat="false" ht="15" hidden="false" customHeight="false" outlineLevel="0" collapsed="false">
      <c r="A10" s="8" t="s">
        <v>2139</v>
      </c>
      <c r="B10" s="8" t="s">
        <v>2104</v>
      </c>
      <c r="C10" s="8" t="s">
        <v>568</v>
      </c>
      <c r="D10" s="8" t="s">
        <v>2114</v>
      </c>
      <c r="E10" s="8" t="s">
        <v>2140</v>
      </c>
      <c r="F10" s="8" t="s">
        <v>204</v>
      </c>
      <c r="G10" s="8" t="s">
        <v>2122</v>
      </c>
      <c r="H10" s="8" t="s">
        <v>2141</v>
      </c>
      <c r="I10" s="8" t="s">
        <v>2142</v>
      </c>
      <c r="J10" s="8" t="s">
        <v>2143</v>
      </c>
      <c r="K10" s="8" t="s">
        <v>157</v>
      </c>
      <c r="L10" s="8" t="s">
        <v>115</v>
      </c>
    </row>
    <row r="11" customFormat="false" ht="15" hidden="false" customHeight="false" outlineLevel="0" collapsed="false">
      <c r="A11" s="8" t="s">
        <v>2144</v>
      </c>
      <c r="B11" s="8" t="s">
        <v>2104</v>
      </c>
      <c r="C11" s="8" t="s">
        <v>573</v>
      </c>
      <c r="D11" s="8" t="s">
        <v>2114</v>
      </c>
      <c r="E11" s="8" t="s">
        <v>2145</v>
      </c>
      <c r="F11" s="8" t="s">
        <v>204</v>
      </c>
      <c r="G11" s="8" t="s">
        <v>2122</v>
      </c>
      <c r="H11" s="8" t="s">
        <v>2141</v>
      </c>
      <c r="I11" s="8" t="s">
        <v>2142</v>
      </c>
      <c r="J11" s="8" t="s">
        <v>2143</v>
      </c>
      <c r="K11" s="8" t="s">
        <v>157</v>
      </c>
      <c r="L11" s="8" t="s">
        <v>115</v>
      </c>
    </row>
    <row r="12" customFormat="false" ht="23.85" hidden="false" customHeight="false" outlineLevel="0" collapsed="false">
      <c r="A12" s="8" t="s">
        <v>2146</v>
      </c>
      <c r="B12" s="8" t="s">
        <v>2104</v>
      </c>
      <c r="C12" s="8" t="s">
        <v>582</v>
      </c>
      <c r="D12" s="8" t="s">
        <v>2147</v>
      </c>
      <c r="E12" s="8" t="s">
        <v>2148</v>
      </c>
      <c r="F12" s="8" t="s">
        <v>132</v>
      </c>
      <c r="G12" s="8" t="s">
        <v>2122</v>
      </c>
      <c r="H12" s="8" t="s">
        <v>2149</v>
      </c>
      <c r="I12" s="8" t="s">
        <v>2150</v>
      </c>
      <c r="J12" s="8" t="s">
        <v>2151</v>
      </c>
      <c r="K12" s="8" t="s">
        <v>133</v>
      </c>
      <c r="L12" s="8" t="s">
        <v>115</v>
      </c>
    </row>
    <row r="13" customFormat="false" ht="23.85" hidden="false" customHeight="false" outlineLevel="0" collapsed="false">
      <c r="A13" s="8" t="s">
        <v>2152</v>
      </c>
      <c r="B13" s="8" t="s">
        <v>2104</v>
      </c>
      <c r="C13" s="8" t="s">
        <v>582</v>
      </c>
      <c r="D13" s="8" t="s">
        <v>2153</v>
      </c>
      <c r="E13" s="8" t="s">
        <v>2154</v>
      </c>
      <c r="F13" s="8" t="s">
        <v>132</v>
      </c>
      <c r="G13" s="8" t="s">
        <v>2155</v>
      </c>
      <c r="H13" s="8" t="s">
        <v>2156</v>
      </c>
      <c r="I13" s="8" t="s">
        <v>2157</v>
      </c>
      <c r="J13" s="8" t="s">
        <v>2158</v>
      </c>
      <c r="K13" s="8" t="s">
        <v>133</v>
      </c>
      <c r="L13" s="8" t="s">
        <v>115</v>
      </c>
    </row>
    <row r="14" customFormat="false" ht="23.85" hidden="false" customHeight="false" outlineLevel="0" collapsed="false">
      <c r="A14" s="8" t="s">
        <v>2159</v>
      </c>
      <c r="B14" s="8" t="s">
        <v>2002</v>
      </c>
      <c r="C14" s="8" t="s">
        <v>617</v>
      </c>
      <c r="D14" s="8" t="s">
        <v>2160</v>
      </c>
      <c r="E14" s="8" t="s">
        <v>2161</v>
      </c>
      <c r="F14" s="8" t="s">
        <v>156</v>
      </c>
      <c r="G14" s="8" t="s">
        <v>2162</v>
      </c>
      <c r="H14" s="8" t="s">
        <v>2163</v>
      </c>
      <c r="I14" s="8" t="s">
        <v>2164</v>
      </c>
      <c r="J14" s="8" t="s">
        <v>2165</v>
      </c>
      <c r="K14" s="8" t="s">
        <v>2166</v>
      </c>
      <c r="L14" s="8" t="s">
        <v>115</v>
      </c>
    </row>
    <row r="15" customFormat="false" ht="23.85" hidden="false" customHeight="false" outlineLevel="0" collapsed="false">
      <c r="A15" s="8" t="s">
        <v>2167</v>
      </c>
      <c r="B15" s="8" t="s">
        <v>2002</v>
      </c>
      <c r="C15" s="8" t="s">
        <v>2168</v>
      </c>
      <c r="D15" s="8" t="s">
        <v>2169</v>
      </c>
      <c r="E15" s="8" t="s">
        <v>2170</v>
      </c>
      <c r="F15" s="8" t="s">
        <v>156</v>
      </c>
      <c r="G15" s="8" t="s">
        <v>2171</v>
      </c>
      <c r="H15" s="8" t="s">
        <v>2172</v>
      </c>
      <c r="I15" s="8" t="s">
        <v>2173</v>
      </c>
      <c r="J15" s="8" t="s">
        <v>2174</v>
      </c>
      <c r="K15" s="8" t="s">
        <v>2175</v>
      </c>
      <c r="L15" s="8" t="s">
        <v>115</v>
      </c>
    </row>
    <row r="16" customFormat="false" ht="35.05" hidden="false" customHeight="false" outlineLevel="0" collapsed="false">
      <c r="A16" s="8" t="s">
        <v>2176</v>
      </c>
      <c r="B16" s="8" t="s">
        <v>2002</v>
      </c>
      <c r="C16" s="8" t="s">
        <v>603</v>
      </c>
      <c r="D16" s="8" t="s">
        <v>2177</v>
      </c>
      <c r="E16" s="8" t="s">
        <v>2178</v>
      </c>
      <c r="F16" s="8" t="s">
        <v>156</v>
      </c>
      <c r="G16" s="8" t="s">
        <v>2179</v>
      </c>
      <c r="H16" s="8" t="s">
        <v>2180</v>
      </c>
      <c r="I16" s="8" t="s">
        <v>2181</v>
      </c>
      <c r="J16" s="8" t="s">
        <v>2182</v>
      </c>
      <c r="K16" s="8" t="s">
        <v>2166</v>
      </c>
      <c r="L16" s="8" t="s">
        <v>115</v>
      </c>
    </row>
    <row r="17" customFormat="false" ht="23.85" hidden="false" customHeight="false" outlineLevel="0" collapsed="false">
      <c r="A17" s="8" t="s">
        <v>2183</v>
      </c>
      <c r="B17" s="8" t="s">
        <v>2184</v>
      </c>
      <c r="C17" s="8" t="s">
        <v>555</v>
      </c>
      <c r="D17" s="8" t="s">
        <v>2185</v>
      </c>
      <c r="E17" s="8" t="s">
        <v>2186</v>
      </c>
      <c r="F17" s="8" t="s">
        <v>138</v>
      </c>
      <c r="G17" s="8" t="s">
        <v>2187</v>
      </c>
      <c r="H17" s="8" t="s">
        <v>2188</v>
      </c>
      <c r="I17" s="8" t="s">
        <v>2189</v>
      </c>
      <c r="J17" s="8" t="s">
        <v>2190</v>
      </c>
      <c r="K17" s="8" t="s">
        <v>2166</v>
      </c>
      <c r="L17" s="8" t="s">
        <v>2191</v>
      </c>
    </row>
    <row r="18" customFormat="false" ht="23.85" hidden="false" customHeight="false" outlineLevel="0" collapsed="false">
      <c r="A18" s="8" t="s">
        <v>2192</v>
      </c>
      <c r="B18" s="8" t="s">
        <v>2002</v>
      </c>
      <c r="C18" s="8" t="s">
        <v>2193</v>
      </c>
      <c r="D18" s="8" t="s">
        <v>2194</v>
      </c>
      <c r="E18" s="8" t="s">
        <v>2195</v>
      </c>
      <c r="F18" s="8" t="s">
        <v>156</v>
      </c>
      <c r="G18" s="8" t="s">
        <v>2196</v>
      </c>
      <c r="H18" s="8" t="s">
        <v>2197</v>
      </c>
      <c r="I18" s="8" t="s">
        <v>2198</v>
      </c>
      <c r="J18" s="8" t="s">
        <v>2199</v>
      </c>
      <c r="K18" s="8" t="s">
        <v>161</v>
      </c>
      <c r="L18" s="8" t="s">
        <v>2191</v>
      </c>
    </row>
    <row r="19" customFormat="false" ht="23.85" hidden="false" customHeight="false" outlineLevel="0" collapsed="false">
      <c r="A19" s="8" t="s">
        <v>2200</v>
      </c>
      <c r="B19" s="8" t="s">
        <v>2002</v>
      </c>
      <c r="C19" s="8" t="s">
        <v>2201</v>
      </c>
      <c r="D19" s="8" t="s">
        <v>2202</v>
      </c>
      <c r="E19" s="8" t="s">
        <v>2203</v>
      </c>
      <c r="F19" s="8" t="s">
        <v>156</v>
      </c>
      <c r="G19" s="8" t="s">
        <v>2204</v>
      </c>
      <c r="H19" s="8" t="s">
        <v>2205</v>
      </c>
      <c r="I19" s="8" t="s">
        <v>2206</v>
      </c>
      <c r="J19" s="8" t="s">
        <v>2207</v>
      </c>
      <c r="K19" s="8" t="s">
        <v>133</v>
      </c>
      <c r="L19" s="8" t="s">
        <v>2191</v>
      </c>
    </row>
    <row r="20" customFormat="false" ht="23.85" hidden="false" customHeight="false" outlineLevel="0" collapsed="false">
      <c r="A20" s="8" t="s">
        <v>2208</v>
      </c>
      <c r="B20" s="8" t="s">
        <v>2002</v>
      </c>
      <c r="C20" s="8" t="s">
        <v>2209</v>
      </c>
      <c r="D20" s="8" t="s">
        <v>2210</v>
      </c>
      <c r="E20" s="8" t="s">
        <v>2211</v>
      </c>
      <c r="F20" s="8" t="s">
        <v>132</v>
      </c>
      <c r="G20" s="8" t="s">
        <v>2212</v>
      </c>
      <c r="H20" s="8" t="s">
        <v>2213</v>
      </c>
      <c r="I20" s="8" t="s">
        <v>2214</v>
      </c>
      <c r="J20" s="8" t="s">
        <v>2215</v>
      </c>
      <c r="K20" s="8" t="s">
        <v>133</v>
      </c>
      <c r="L20" s="8" t="s">
        <v>2191</v>
      </c>
    </row>
    <row r="21" customFormat="false" ht="23.85" hidden="false" customHeight="false" outlineLevel="0" collapsed="false">
      <c r="A21" s="8" t="s">
        <v>2216</v>
      </c>
      <c r="B21" s="8" t="s">
        <v>2002</v>
      </c>
      <c r="C21" s="8" t="s">
        <v>2217</v>
      </c>
      <c r="D21" s="8" t="s">
        <v>2218</v>
      </c>
      <c r="E21" s="8" t="s">
        <v>2219</v>
      </c>
      <c r="F21" s="8" t="s">
        <v>132</v>
      </c>
      <c r="G21" s="8" t="s">
        <v>2220</v>
      </c>
      <c r="H21" s="8" t="s">
        <v>2221</v>
      </c>
      <c r="I21" s="8" t="s">
        <v>2222</v>
      </c>
      <c r="J21" s="8" t="s">
        <v>2223</v>
      </c>
      <c r="K21" s="8" t="s">
        <v>215</v>
      </c>
      <c r="L21" s="8" t="s">
        <v>2191</v>
      </c>
    </row>
    <row r="22" customFormat="false" ht="23.85" hidden="false" customHeight="false" outlineLevel="0" collapsed="false">
      <c r="A22" s="8" t="s">
        <v>2224</v>
      </c>
      <c r="B22" s="8" t="s">
        <v>2002</v>
      </c>
      <c r="C22" s="8" t="s">
        <v>2225</v>
      </c>
      <c r="D22" s="8" t="s">
        <v>2226</v>
      </c>
      <c r="E22" s="8" t="s">
        <v>2227</v>
      </c>
      <c r="F22" s="8" t="s">
        <v>204</v>
      </c>
      <c r="G22" s="8" t="s">
        <v>2228</v>
      </c>
      <c r="H22" s="8" t="s">
        <v>2229</v>
      </c>
      <c r="I22" s="8" t="s">
        <v>2230</v>
      </c>
      <c r="J22" s="8" t="s">
        <v>2231</v>
      </c>
      <c r="K22" s="8" t="s">
        <v>157</v>
      </c>
      <c r="L22" s="8" t="s">
        <v>2191</v>
      </c>
    </row>
    <row r="23" customFormat="false" ht="23.85" hidden="false" customHeight="false" outlineLevel="0" collapsed="false">
      <c r="A23" s="8" t="s">
        <v>2232</v>
      </c>
      <c r="B23" s="8" t="s">
        <v>2002</v>
      </c>
      <c r="C23" s="8" t="s">
        <v>562</v>
      </c>
      <c r="D23" s="8" t="s">
        <v>2233</v>
      </c>
      <c r="E23" s="8" t="s">
        <v>2234</v>
      </c>
      <c r="F23" s="8" t="s">
        <v>204</v>
      </c>
      <c r="G23" s="8" t="s">
        <v>2235</v>
      </c>
      <c r="H23" s="8" t="s">
        <v>2236</v>
      </c>
      <c r="I23" s="8" t="s">
        <v>2237</v>
      </c>
      <c r="J23" s="8" t="s">
        <v>2238</v>
      </c>
      <c r="K23" s="8" t="s">
        <v>2175</v>
      </c>
      <c r="L23" s="8" t="s">
        <v>115</v>
      </c>
    </row>
    <row r="24" customFormat="false" ht="23.85" hidden="false" customHeight="false" outlineLevel="0" collapsed="false">
      <c r="A24" s="8" t="s">
        <v>2239</v>
      </c>
      <c r="B24" s="8" t="s">
        <v>2002</v>
      </c>
      <c r="C24" s="8" t="s">
        <v>588</v>
      </c>
      <c r="D24" s="8" t="s">
        <v>2240</v>
      </c>
      <c r="E24" s="8" t="s">
        <v>2241</v>
      </c>
      <c r="F24" s="8" t="s">
        <v>132</v>
      </c>
      <c r="G24" s="8" t="s">
        <v>2242</v>
      </c>
      <c r="H24" s="8" t="s">
        <v>2243</v>
      </c>
      <c r="I24" s="8" t="s">
        <v>2244</v>
      </c>
      <c r="J24" s="8" t="s">
        <v>2245</v>
      </c>
      <c r="K24" s="8" t="s">
        <v>133</v>
      </c>
      <c r="L24" s="8" t="s">
        <v>2191</v>
      </c>
    </row>
    <row r="25" customFormat="false" ht="23.85" hidden="false" customHeight="false" outlineLevel="0" collapsed="false">
      <c r="A25" s="8" t="s">
        <v>2246</v>
      </c>
      <c r="B25" s="8" t="s">
        <v>2247</v>
      </c>
      <c r="C25" s="8" t="s">
        <v>643</v>
      </c>
      <c r="D25" s="8" t="s">
        <v>2248</v>
      </c>
      <c r="E25" s="8" t="s">
        <v>2249</v>
      </c>
      <c r="F25" s="8" t="s">
        <v>132</v>
      </c>
      <c r="G25" s="8" t="s">
        <v>2250</v>
      </c>
      <c r="H25" s="8" t="s">
        <v>2251</v>
      </c>
      <c r="I25" s="8" t="s">
        <v>2252</v>
      </c>
      <c r="J25" s="8" t="s">
        <v>2253</v>
      </c>
      <c r="K25" s="8" t="s">
        <v>133</v>
      </c>
      <c r="L25" s="8" t="s">
        <v>115</v>
      </c>
    </row>
    <row r="26" customFormat="false" ht="23.85" hidden="false" customHeight="false" outlineLevel="0" collapsed="false">
      <c r="A26" s="8" t="s">
        <v>2254</v>
      </c>
      <c r="B26" s="8" t="s">
        <v>2255</v>
      </c>
      <c r="C26" s="8" t="s">
        <v>1474</v>
      </c>
      <c r="D26" s="8" t="s">
        <v>2256</v>
      </c>
      <c r="E26" s="8" t="s">
        <v>2257</v>
      </c>
      <c r="F26" s="8" t="s">
        <v>156</v>
      </c>
      <c r="G26" s="8" t="s">
        <v>2258</v>
      </c>
      <c r="H26" s="8" t="s">
        <v>2259</v>
      </c>
      <c r="I26" s="8" t="s">
        <v>2260</v>
      </c>
      <c r="J26" s="8" t="s">
        <v>2261</v>
      </c>
      <c r="K26" s="8" t="s">
        <v>133</v>
      </c>
      <c r="L26" s="8" t="s">
        <v>115</v>
      </c>
    </row>
    <row r="27" customFormat="false" ht="23.85" hidden="false" customHeight="false" outlineLevel="0" collapsed="false">
      <c r="A27" s="8" t="s">
        <v>2262</v>
      </c>
      <c r="B27" s="8" t="s">
        <v>2255</v>
      </c>
      <c r="C27" s="8" t="s">
        <v>2263</v>
      </c>
      <c r="D27" s="8" t="s">
        <v>2264</v>
      </c>
      <c r="E27" s="8" t="s">
        <v>2265</v>
      </c>
      <c r="F27" s="8" t="s">
        <v>156</v>
      </c>
      <c r="G27" s="8" t="s">
        <v>2266</v>
      </c>
      <c r="H27" s="8" t="s">
        <v>2267</v>
      </c>
      <c r="I27" s="8" t="s">
        <v>2268</v>
      </c>
      <c r="J27" s="8" t="s">
        <v>2261</v>
      </c>
      <c r="K27" s="8" t="s">
        <v>133</v>
      </c>
      <c r="L27" s="8" t="s">
        <v>115</v>
      </c>
    </row>
    <row r="28" customFormat="false" ht="35.05" hidden="false" customHeight="false" outlineLevel="0" collapsed="false">
      <c r="A28" s="8" t="s">
        <v>2269</v>
      </c>
      <c r="B28" s="8" t="s">
        <v>2270</v>
      </c>
      <c r="C28" s="8" t="s">
        <v>2271</v>
      </c>
      <c r="D28" s="8" t="s">
        <v>2272</v>
      </c>
      <c r="E28" s="8" t="s">
        <v>2273</v>
      </c>
      <c r="F28" s="8" t="s">
        <v>156</v>
      </c>
      <c r="G28" s="8" t="s">
        <v>2274</v>
      </c>
      <c r="H28" s="8" t="s">
        <v>2275</v>
      </c>
      <c r="I28" s="8" t="s">
        <v>2276</v>
      </c>
      <c r="J28" s="8" t="s">
        <v>2277</v>
      </c>
      <c r="K28" s="8" t="s">
        <v>2166</v>
      </c>
      <c r="L28" s="8" t="s">
        <v>2191</v>
      </c>
    </row>
    <row r="29" customFormat="false" ht="23.85" hidden="false" customHeight="false" outlineLevel="0" collapsed="false">
      <c r="A29" s="8" t="s">
        <v>2278</v>
      </c>
      <c r="B29" s="8" t="s">
        <v>2279</v>
      </c>
      <c r="C29" s="8" t="s">
        <v>2280</v>
      </c>
      <c r="D29" s="8" t="s">
        <v>2281</v>
      </c>
      <c r="E29" s="8" t="s">
        <v>2282</v>
      </c>
      <c r="F29" s="8" t="s">
        <v>132</v>
      </c>
      <c r="G29" s="8" t="s">
        <v>2283</v>
      </c>
      <c r="H29" s="8" t="s">
        <v>2284</v>
      </c>
      <c r="I29" s="8" t="s">
        <v>2285</v>
      </c>
      <c r="J29" s="8" t="s">
        <v>2286</v>
      </c>
      <c r="K29" s="8" t="s">
        <v>161</v>
      </c>
      <c r="L29" s="8" t="s">
        <v>2191</v>
      </c>
    </row>
    <row r="32" customFormat="false" ht="15" hidden="false" customHeight="false" outlineLevel="0" collapsed="false">
      <c r="A32" s="5" t="s">
        <v>2287</v>
      </c>
    </row>
    <row r="33" customFormat="false" ht="15" hidden="false" customHeight="false" outlineLevel="0" collapsed="false">
      <c r="A33" s="2" t="s">
        <v>2288</v>
      </c>
      <c r="D33" s="2" t="s">
        <v>2289</v>
      </c>
    </row>
    <row r="34" customFormat="false" ht="15" hidden="false" customHeight="false" outlineLevel="0" collapsed="false">
      <c r="A34" s="2" t="s">
        <v>2290</v>
      </c>
      <c r="D34" s="2" t="s">
        <v>2291</v>
      </c>
    </row>
    <row r="35" customFormat="false" ht="15" hidden="false" customHeight="false" outlineLevel="0" collapsed="false">
      <c r="A35" s="2" t="s">
        <v>2292</v>
      </c>
      <c r="D35" s="2" t="s">
        <v>2293</v>
      </c>
    </row>
    <row r="36" customFormat="false" ht="15" hidden="false" customHeight="false" outlineLevel="0" collapsed="false">
      <c r="A36" s="2" t="s">
        <v>2294</v>
      </c>
      <c r="D36" s="2" t="s">
        <v>2293</v>
      </c>
    </row>
    <row r="37" customFormat="false" ht="15" hidden="false" customHeight="false" outlineLevel="0" collapsed="false">
      <c r="A37" s="2" t="s">
        <v>2295</v>
      </c>
      <c r="D37" s="2" t="s">
        <v>2296</v>
      </c>
    </row>
    <row r="38" customFormat="false" ht="15" hidden="false" customHeight="false" outlineLevel="0" collapsed="false">
      <c r="A38" s="2" t="s">
        <v>2297</v>
      </c>
      <c r="D38" s="2" t="s">
        <v>2298</v>
      </c>
    </row>
    <row r="39" customFormat="false" ht="15" hidden="false" customHeight="false" outlineLevel="0" collapsed="false">
      <c r="A39" s="2" t="s">
        <v>2299</v>
      </c>
      <c r="D39" s="2" t="s">
        <v>2300</v>
      </c>
    </row>
    <row r="40" customFormat="false" ht="15" hidden="false" customHeight="false" outlineLevel="0" collapsed="false">
      <c r="A40" s="2" t="s">
        <v>2301</v>
      </c>
      <c r="D40" s="2" t="s">
        <v>1957</v>
      </c>
    </row>
  </sheetData>
  <autoFilter ref="A3:L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2302</v>
      </c>
    </row>
    <row r="2" customFormat="false" ht="15" hidden="false" customHeight="false" outlineLevel="0" collapsed="false">
      <c r="A2" s="6" t="s">
        <v>51</v>
      </c>
    </row>
    <row r="3" customFormat="false" ht="15" hidden="false" customHeight="false" outlineLevel="0" collapsed="false">
      <c r="A3" s="7" t="s">
        <v>2303</v>
      </c>
      <c r="B3" s="7" t="s">
        <v>2304</v>
      </c>
      <c r="C3" s="7" t="s">
        <v>2305</v>
      </c>
      <c r="D3" s="7" t="s">
        <v>2306</v>
      </c>
      <c r="E3" s="7" t="s">
        <v>2307</v>
      </c>
      <c r="F3" s="7" t="s">
        <v>1244</v>
      </c>
      <c r="G3" s="7" t="s">
        <v>2308</v>
      </c>
    </row>
    <row r="4" customFormat="false" ht="15" hidden="false" customHeight="false" outlineLevel="0" collapsed="false">
      <c r="A4" s="8" t="s">
        <v>2309</v>
      </c>
      <c r="B4" s="8" t="s">
        <v>2310</v>
      </c>
      <c r="C4" s="8" t="s">
        <v>2311</v>
      </c>
      <c r="D4" s="8" t="s">
        <v>2312</v>
      </c>
      <c r="E4" s="8" t="s">
        <v>2313</v>
      </c>
      <c r="F4" s="8" t="s">
        <v>133</v>
      </c>
      <c r="G4" s="8" t="s">
        <v>2314</v>
      </c>
    </row>
    <row r="5" customFormat="false" ht="15" hidden="false" customHeight="false" outlineLevel="0" collapsed="false">
      <c r="A5" s="8" t="s">
        <v>2315</v>
      </c>
      <c r="B5" s="8" t="s">
        <v>2316</v>
      </c>
      <c r="C5" s="8" t="s">
        <v>2317</v>
      </c>
      <c r="D5" s="8" t="s">
        <v>2318</v>
      </c>
      <c r="E5" s="8" t="s">
        <v>2319</v>
      </c>
      <c r="F5" s="8" t="s">
        <v>133</v>
      </c>
      <c r="G5" s="8" t="s">
        <v>2152</v>
      </c>
    </row>
    <row r="6" customFormat="false" ht="15" hidden="false" customHeight="false" outlineLevel="0" collapsed="false">
      <c r="A6" s="8" t="s">
        <v>2320</v>
      </c>
      <c r="B6" s="8" t="s">
        <v>2321</v>
      </c>
      <c r="C6" s="8" t="s">
        <v>2317</v>
      </c>
      <c r="D6" s="8" t="s">
        <v>2322</v>
      </c>
      <c r="E6" s="8" t="s">
        <v>2323</v>
      </c>
      <c r="F6" s="8" t="s">
        <v>133</v>
      </c>
      <c r="G6" s="8" t="s">
        <v>2324</v>
      </c>
    </row>
    <row r="7" customFormat="false" ht="15" hidden="false" customHeight="false" outlineLevel="0" collapsed="false">
      <c r="A7" s="8" t="s">
        <v>2325</v>
      </c>
      <c r="B7" s="8" t="s">
        <v>2326</v>
      </c>
      <c r="C7" s="8" t="s">
        <v>2317</v>
      </c>
      <c r="D7" s="8" t="s">
        <v>2327</v>
      </c>
      <c r="E7" s="8" t="s">
        <v>2328</v>
      </c>
      <c r="F7" s="8" t="s">
        <v>133</v>
      </c>
      <c r="G7" s="8" t="s">
        <v>2329</v>
      </c>
    </row>
    <row r="8" customFormat="false" ht="15" hidden="false" customHeight="false" outlineLevel="0" collapsed="false">
      <c r="A8" s="8" t="s">
        <v>2330</v>
      </c>
      <c r="B8" s="8" t="s">
        <v>2331</v>
      </c>
      <c r="C8" s="8" t="s">
        <v>2317</v>
      </c>
      <c r="D8" s="8" t="s">
        <v>2332</v>
      </c>
      <c r="E8" s="8" t="s">
        <v>2333</v>
      </c>
      <c r="F8" s="8" t="s">
        <v>133</v>
      </c>
      <c r="G8" s="8" t="s">
        <v>497</v>
      </c>
    </row>
    <row r="9" customFormat="false" ht="15" hidden="false" customHeight="false" outlineLevel="0" collapsed="false">
      <c r="A9" s="8" t="s">
        <v>2334</v>
      </c>
      <c r="B9" s="8" t="s">
        <v>2335</v>
      </c>
      <c r="C9" s="8" t="s">
        <v>2336</v>
      </c>
      <c r="D9" s="8" t="s">
        <v>2337</v>
      </c>
      <c r="E9" s="8" t="s">
        <v>2338</v>
      </c>
      <c r="F9" s="8" t="s">
        <v>2339</v>
      </c>
      <c r="G9" s="8" t="s">
        <v>15</v>
      </c>
    </row>
    <row r="10" customFormat="false" ht="15" hidden="false" customHeight="false" outlineLevel="0" collapsed="false">
      <c r="A10" s="8" t="s">
        <v>2340</v>
      </c>
      <c r="B10" s="8" t="s">
        <v>2341</v>
      </c>
      <c r="C10" s="8" t="s">
        <v>2336</v>
      </c>
      <c r="D10" s="8" t="s">
        <v>2342</v>
      </c>
      <c r="E10" s="8" t="s">
        <v>2343</v>
      </c>
      <c r="F10" s="8" t="s">
        <v>2344</v>
      </c>
      <c r="G10" s="8" t="s">
        <v>2345</v>
      </c>
    </row>
    <row r="11" customFormat="false" ht="15" hidden="false" customHeight="false" outlineLevel="0" collapsed="false">
      <c r="A11" s="8" t="s">
        <v>2346</v>
      </c>
      <c r="B11" s="8" t="s">
        <v>2347</v>
      </c>
      <c r="C11" s="8" t="s">
        <v>2348</v>
      </c>
      <c r="D11" s="8" t="s">
        <v>2349</v>
      </c>
      <c r="E11" s="8" t="s">
        <v>2350</v>
      </c>
      <c r="F11" s="8" t="s">
        <v>2344</v>
      </c>
      <c r="G11" s="8" t="s">
        <v>2329</v>
      </c>
    </row>
    <row r="12" customFormat="false" ht="15" hidden="false" customHeight="false" outlineLevel="0" collapsed="false">
      <c r="A12" s="8" t="s">
        <v>2351</v>
      </c>
      <c r="B12" s="8" t="s">
        <v>2352</v>
      </c>
      <c r="C12" s="8" t="s">
        <v>2348</v>
      </c>
      <c r="D12" s="8" t="s">
        <v>2353</v>
      </c>
      <c r="E12" s="8" t="s">
        <v>2354</v>
      </c>
      <c r="F12" s="8" t="s">
        <v>2344</v>
      </c>
      <c r="G12" s="8" t="s">
        <v>2324</v>
      </c>
    </row>
    <row r="13" customFormat="false" ht="15" hidden="false" customHeight="false" outlineLevel="0" collapsed="false">
      <c r="A13" s="8" t="s">
        <v>2355</v>
      </c>
      <c r="B13" s="8" t="s">
        <v>2356</v>
      </c>
      <c r="C13" s="8" t="s">
        <v>2348</v>
      </c>
      <c r="D13" s="8" t="s">
        <v>2357</v>
      </c>
      <c r="E13" s="8" t="s">
        <v>2358</v>
      </c>
      <c r="F13" s="8" t="s">
        <v>2344</v>
      </c>
      <c r="G13" s="8" t="s">
        <v>2359</v>
      </c>
    </row>
    <row r="14" customFormat="false" ht="15" hidden="false" customHeight="false" outlineLevel="0" collapsed="false">
      <c r="A14" s="8" t="s">
        <v>2360</v>
      </c>
      <c r="B14" s="8" t="s">
        <v>2361</v>
      </c>
      <c r="C14" s="8" t="s">
        <v>2348</v>
      </c>
      <c r="D14" s="8" t="s">
        <v>2362</v>
      </c>
      <c r="E14" s="8" t="s">
        <v>2363</v>
      </c>
      <c r="F14" s="8" t="s">
        <v>2344</v>
      </c>
      <c r="G14" s="8" t="s">
        <v>2200</v>
      </c>
    </row>
    <row r="15" customFormat="false" ht="15" hidden="false" customHeight="false" outlineLevel="0" collapsed="false">
      <c r="A15" s="8" t="s">
        <v>2364</v>
      </c>
      <c r="B15" s="8" t="s">
        <v>2365</v>
      </c>
      <c r="C15" s="8" t="s">
        <v>2348</v>
      </c>
      <c r="D15" s="8" t="s">
        <v>2366</v>
      </c>
      <c r="E15" s="8" t="s">
        <v>2363</v>
      </c>
      <c r="F15" s="8" t="s">
        <v>2344</v>
      </c>
      <c r="G15" s="8" t="s">
        <v>2159</v>
      </c>
    </row>
    <row r="16" customFormat="false" ht="23.85" hidden="false" customHeight="false" outlineLevel="0" collapsed="false">
      <c r="A16" s="8" t="s">
        <v>2367</v>
      </c>
      <c r="B16" s="8" t="s">
        <v>2368</v>
      </c>
      <c r="C16" s="8" t="s">
        <v>2348</v>
      </c>
      <c r="D16" s="8" t="s">
        <v>2369</v>
      </c>
      <c r="E16" s="8" t="s">
        <v>2370</v>
      </c>
      <c r="F16" s="8" t="s">
        <v>2344</v>
      </c>
      <c r="G16" s="8" t="s">
        <v>2371</v>
      </c>
    </row>
    <row r="17" customFormat="false" ht="15" hidden="false" customHeight="false" outlineLevel="0" collapsed="false">
      <c r="A17" s="8" t="s">
        <v>2372</v>
      </c>
      <c r="B17" s="8" t="s">
        <v>2373</v>
      </c>
      <c r="C17" s="8" t="s">
        <v>2374</v>
      </c>
      <c r="D17" s="8" t="s">
        <v>2375</v>
      </c>
      <c r="E17" s="8" t="s">
        <v>2376</v>
      </c>
      <c r="F17" s="8" t="s">
        <v>2344</v>
      </c>
      <c r="G17" s="8" t="s">
        <v>162</v>
      </c>
    </row>
    <row r="18" customFormat="false" ht="15" hidden="false" customHeight="false" outlineLevel="0" collapsed="false">
      <c r="A18" s="8" t="s">
        <v>2377</v>
      </c>
      <c r="B18" s="8" t="s">
        <v>2378</v>
      </c>
      <c r="C18" s="8" t="s">
        <v>2374</v>
      </c>
      <c r="D18" s="8" t="s">
        <v>2379</v>
      </c>
      <c r="E18" s="8" t="s">
        <v>2380</v>
      </c>
      <c r="F18" s="8" t="s">
        <v>2339</v>
      </c>
      <c r="G18" s="8" t="s">
        <v>497</v>
      </c>
    </row>
    <row r="19" customFormat="false" ht="15" hidden="false" customHeight="false" outlineLevel="0" collapsed="false">
      <c r="A19" s="8" t="s">
        <v>2381</v>
      </c>
      <c r="B19" s="8" t="s">
        <v>2382</v>
      </c>
      <c r="C19" s="8" t="s">
        <v>2374</v>
      </c>
      <c r="D19" s="8" t="s">
        <v>2383</v>
      </c>
      <c r="E19" s="8" t="s">
        <v>2384</v>
      </c>
      <c r="F19" s="8" t="s">
        <v>2344</v>
      </c>
      <c r="G19" s="8" t="s">
        <v>1737</v>
      </c>
    </row>
    <row r="20" customFormat="false" ht="15" hidden="false" customHeight="false" outlineLevel="0" collapsed="false">
      <c r="A20" s="8" t="s">
        <v>2385</v>
      </c>
      <c r="B20" s="8" t="s">
        <v>2386</v>
      </c>
      <c r="C20" s="8" t="s">
        <v>2374</v>
      </c>
      <c r="D20" s="8" t="s">
        <v>2387</v>
      </c>
      <c r="E20" s="8" t="s">
        <v>2388</v>
      </c>
      <c r="F20" s="8" t="s">
        <v>2389</v>
      </c>
      <c r="G20" s="8" t="s">
        <v>2216</v>
      </c>
    </row>
    <row r="21" customFormat="false" ht="23.85" hidden="false" customHeight="false" outlineLevel="0" collapsed="false">
      <c r="A21" s="8" t="s">
        <v>2390</v>
      </c>
      <c r="B21" s="8" t="s">
        <v>2391</v>
      </c>
      <c r="C21" s="8" t="s">
        <v>2374</v>
      </c>
      <c r="D21" s="8" t="s">
        <v>2392</v>
      </c>
      <c r="E21" s="8" t="s">
        <v>2393</v>
      </c>
      <c r="F21" s="8" t="s">
        <v>2344</v>
      </c>
      <c r="G21" s="8" t="s">
        <v>2394</v>
      </c>
    </row>
    <row r="22" customFormat="false" ht="15" hidden="false" customHeight="false" outlineLevel="0" collapsed="false">
      <c r="A22" s="8" t="s">
        <v>2395</v>
      </c>
      <c r="B22" s="8" t="s">
        <v>2396</v>
      </c>
      <c r="C22" s="8" t="s">
        <v>2397</v>
      </c>
      <c r="D22" s="8" t="s">
        <v>2398</v>
      </c>
      <c r="E22" s="8" t="s">
        <v>2399</v>
      </c>
      <c r="F22" s="8" t="s">
        <v>2344</v>
      </c>
      <c r="G22" s="8" t="s">
        <v>15</v>
      </c>
    </row>
    <row r="23" customFormat="false" ht="15" hidden="false" customHeight="false" outlineLevel="0" collapsed="false">
      <c r="A23" s="8" t="s">
        <v>2400</v>
      </c>
      <c r="B23" s="8" t="s">
        <v>2401</v>
      </c>
      <c r="C23" s="8" t="s">
        <v>2397</v>
      </c>
      <c r="D23" s="8" t="s">
        <v>2402</v>
      </c>
      <c r="E23" s="8" t="s">
        <v>2403</v>
      </c>
      <c r="F23" s="8" t="s">
        <v>2344</v>
      </c>
      <c r="G23" s="8" t="s">
        <v>15</v>
      </c>
    </row>
    <row r="24" customFormat="false" ht="15" hidden="false" customHeight="false" outlineLevel="0" collapsed="false">
      <c r="A24" s="8" t="s">
        <v>2404</v>
      </c>
      <c r="B24" s="8" t="s">
        <v>2405</v>
      </c>
      <c r="C24" s="8" t="s">
        <v>2397</v>
      </c>
      <c r="D24" s="8" t="s">
        <v>2406</v>
      </c>
      <c r="E24" s="8" t="s">
        <v>2407</v>
      </c>
      <c r="F24" s="8" t="s">
        <v>2344</v>
      </c>
      <c r="G24" s="8" t="s">
        <v>15</v>
      </c>
    </row>
    <row r="25" customFormat="false" ht="23.85" hidden="false" customHeight="false" outlineLevel="0" collapsed="false">
      <c r="A25" s="8" t="s">
        <v>2408</v>
      </c>
      <c r="B25" s="8" t="s">
        <v>2409</v>
      </c>
      <c r="C25" s="8" t="s">
        <v>2374</v>
      </c>
      <c r="D25" s="8" t="s">
        <v>2410</v>
      </c>
      <c r="E25" s="8" t="s">
        <v>2411</v>
      </c>
      <c r="F25" s="8" t="s">
        <v>2412</v>
      </c>
      <c r="G25" s="8" t="s">
        <v>2413</v>
      </c>
    </row>
  </sheetData>
  <autoFilter ref="A3:G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5" min="4" style="0" width="22"/>
    <col collapsed="false" customWidth="true" hidden="false" outlineLevel="0" max="6" min="6" style="0" width="24"/>
    <col collapsed="false" customWidth="true" hidden="false" outlineLevel="0" max="7" min="7" style="0" width="34"/>
    <col collapsed="false" customWidth="true" hidden="false" outlineLevel="0" max="8" min="8" style="0" width="18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1" min="11" style="0" width="36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2414</v>
      </c>
    </row>
    <row r="2" customFormat="false" ht="15" hidden="false" customHeight="false" outlineLevel="0" collapsed="false">
      <c r="A2" s="6" t="s">
        <v>51</v>
      </c>
    </row>
    <row r="3" customFormat="false" ht="23.85" hidden="false" customHeight="false" outlineLevel="0" collapsed="false">
      <c r="A3" s="7" t="s">
        <v>2397</v>
      </c>
      <c r="B3" s="7" t="s">
        <v>2415</v>
      </c>
      <c r="C3" s="7" t="s">
        <v>2416</v>
      </c>
      <c r="D3" s="7" t="s">
        <v>2417</v>
      </c>
      <c r="E3" s="7" t="s">
        <v>54</v>
      </c>
      <c r="F3" s="7" t="s">
        <v>2418</v>
      </c>
      <c r="G3" s="7" t="s">
        <v>2419</v>
      </c>
      <c r="H3" s="7" t="s">
        <v>2420</v>
      </c>
      <c r="I3" s="7" t="s">
        <v>1874</v>
      </c>
      <c r="J3" s="7" t="s">
        <v>2421</v>
      </c>
      <c r="K3" s="7" t="s">
        <v>256</v>
      </c>
      <c r="L3" s="7" t="s">
        <v>2422</v>
      </c>
    </row>
    <row r="4" customFormat="false" ht="23.85" hidden="false" customHeight="false" outlineLevel="0" collapsed="false">
      <c r="A4" s="8" t="s">
        <v>2423</v>
      </c>
      <c r="B4" s="8" t="s">
        <v>2424</v>
      </c>
      <c r="C4" s="8" t="s">
        <v>2425</v>
      </c>
      <c r="D4" s="8" t="s">
        <v>1498</v>
      </c>
      <c r="E4" s="8" t="s">
        <v>1504</v>
      </c>
      <c r="F4" s="8" t="s">
        <v>2426</v>
      </c>
      <c r="G4" s="8" t="s">
        <v>2427</v>
      </c>
      <c r="H4" s="8" t="s">
        <v>2428</v>
      </c>
      <c r="I4" s="8" t="s">
        <v>2429</v>
      </c>
      <c r="J4" s="8" t="s">
        <v>1505</v>
      </c>
      <c r="K4" s="8" t="s">
        <v>2430</v>
      </c>
      <c r="L4" s="8" t="s">
        <v>2431</v>
      </c>
    </row>
    <row r="5" customFormat="false" ht="23.85" hidden="false" customHeight="false" outlineLevel="0" collapsed="false">
      <c r="A5" s="8" t="s">
        <v>2423</v>
      </c>
      <c r="B5" s="8" t="s">
        <v>2432</v>
      </c>
      <c r="C5" s="8" t="s">
        <v>2433</v>
      </c>
      <c r="D5" s="8" t="s">
        <v>1521</v>
      </c>
      <c r="E5" s="8" t="s">
        <v>1526</v>
      </c>
      <c r="F5" s="8" t="s">
        <v>2434</v>
      </c>
      <c r="G5" s="8" t="s">
        <v>2427</v>
      </c>
      <c r="H5" s="8" t="s">
        <v>594</v>
      </c>
      <c r="I5" s="8" t="s">
        <v>2429</v>
      </c>
      <c r="J5" s="8" t="s">
        <v>1505</v>
      </c>
      <c r="K5" s="8" t="s">
        <v>2435</v>
      </c>
      <c r="L5" s="8" t="s">
        <v>2436</v>
      </c>
    </row>
    <row r="6" customFormat="false" ht="23.85" hidden="false" customHeight="false" outlineLevel="0" collapsed="false">
      <c r="A6" s="8" t="s">
        <v>2423</v>
      </c>
      <c r="B6" s="8" t="s">
        <v>2437</v>
      </c>
      <c r="C6" s="8" t="s">
        <v>2438</v>
      </c>
      <c r="D6" s="8" t="s">
        <v>1619</v>
      </c>
      <c r="E6" s="8" t="s">
        <v>1286</v>
      </c>
      <c r="F6" s="8" t="s">
        <v>2439</v>
      </c>
      <c r="G6" s="8" t="s">
        <v>2427</v>
      </c>
      <c r="H6" s="8" t="s">
        <v>1060</v>
      </c>
      <c r="I6" s="8" t="s">
        <v>2429</v>
      </c>
      <c r="J6" s="8" t="s">
        <v>1505</v>
      </c>
      <c r="K6" s="8" t="s">
        <v>2440</v>
      </c>
      <c r="L6" s="8" t="s">
        <v>2441</v>
      </c>
    </row>
    <row r="7" customFormat="false" ht="23.85" hidden="false" customHeight="false" outlineLevel="0" collapsed="false">
      <c r="A7" s="8" t="s">
        <v>2423</v>
      </c>
      <c r="B7" s="8" t="s">
        <v>2442</v>
      </c>
      <c r="C7" s="8" t="s">
        <v>2443</v>
      </c>
      <c r="D7" s="8" t="s">
        <v>1707</v>
      </c>
      <c r="E7" s="8" t="s">
        <v>330</v>
      </c>
      <c r="F7" s="8" t="s">
        <v>2444</v>
      </c>
      <c r="G7" s="8" t="s">
        <v>2427</v>
      </c>
      <c r="H7" s="8" t="s">
        <v>1085</v>
      </c>
      <c r="I7" s="8" t="s">
        <v>2429</v>
      </c>
      <c r="J7" s="8" t="s">
        <v>1505</v>
      </c>
      <c r="K7" s="8" t="s">
        <v>2445</v>
      </c>
      <c r="L7" s="8" t="s">
        <v>2446</v>
      </c>
    </row>
    <row r="8" customFormat="false" ht="23.85" hidden="false" customHeight="false" outlineLevel="0" collapsed="false">
      <c r="A8" s="8" t="s">
        <v>2423</v>
      </c>
      <c r="B8" s="8" t="s">
        <v>2447</v>
      </c>
      <c r="C8" s="8" t="s">
        <v>2448</v>
      </c>
      <c r="D8" s="8" t="s">
        <v>1786</v>
      </c>
      <c r="E8" s="8" t="s">
        <v>397</v>
      </c>
      <c r="F8" s="8" t="s">
        <v>2449</v>
      </c>
      <c r="G8" s="8" t="s">
        <v>2427</v>
      </c>
      <c r="H8" s="8" t="s">
        <v>1114</v>
      </c>
      <c r="I8" s="8" t="s">
        <v>2429</v>
      </c>
      <c r="J8" s="8" t="s">
        <v>1505</v>
      </c>
      <c r="K8" s="8" t="s">
        <v>2450</v>
      </c>
      <c r="L8" s="8" t="s">
        <v>2451</v>
      </c>
    </row>
    <row r="9" customFormat="false" ht="23.85" hidden="false" customHeight="false" outlineLevel="0" collapsed="false">
      <c r="A9" s="8" t="s">
        <v>2423</v>
      </c>
      <c r="B9" s="8" t="s">
        <v>2452</v>
      </c>
      <c r="C9" s="8" t="s">
        <v>2453</v>
      </c>
      <c r="D9" s="8" t="s">
        <v>2454</v>
      </c>
      <c r="E9" s="8" t="s">
        <v>2455</v>
      </c>
      <c r="F9" s="8" t="s">
        <v>2456</v>
      </c>
      <c r="G9" s="8" t="s">
        <v>2427</v>
      </c>
      <c r="H9" s="8" t="s">
        <v>1386</v>
      </c>
      <c r="I9" s="8" t="s">
        <v>2429</v>
      </c>
      <c r="J9" s="8" t="s">
        <v>1505</v>
      </c>
      <c r="K9" s="8" t="s">
        <v>2457</v>
      </c>
      <c r="L9" s="8" t="s">
        <v>2458</v>
      </c>
    </row>
    <row r="10" customFormat="false" ht="23.85" hidden="false" customHeight="false" outlineLevel="0" collapsed="false">
      <c r="A10" s="8" t="s">
        <v>2423</v>
      </c>
      <c r="B10" s="8" t="s">
        <v>2459</v>
      </c>
      <c r="C10" s="8" t="s">
        <v>2460</v>
      </c>
      <c r="D10" s="8" t="s">
        <v>2461</v>
      </c>
      <c r="E10" s="8" t="s">
        <v>2462</v>
      </c>
      <c r="F10" s="8" t="s">
        <v>1299</v>
      </c>
      <c r="G10" s="8" t="s">
        <v>2427</v>
      </c>
      <c r="H10" s="8" t="s">
        <v>1060</v>
      </c>
      <c r="I10" s="8" t="s">
        <v>2429</v>
      </c>
      <c r="J10" s="8" t="s">
        <v>1505</v>
      </c>
      <c r="K10" s="8" t="s">
        <v>2463</v>
      </c>
      <c r="L10" s="8" t="s">
        <v>2464</v>
      </c>
    </row>
    <row r="11" customFormat="false" ht="23.85" hidden="false" customHeight="false" outlineLevel="0" collapsed="false">
      <c r="A11" s="8" t="s">
        <v>2423</v>
      </c>
      <c r="B11" s="8" t="s">
        <v>2465</v>
      </c>
      <c r="C11" s="8" t="s">
        <v>2466</v>
      </c>
      <c r="D11" s="8" t="s">
        <v>1627</v>
      </c>
      <c r="E11" s="8" t="s">
        <v>1286</v>
      </c>
      <c r="F11" s="8" t="s">
        <v>2467</v>
      </c>
      <c r="G11" s="8" t="s">
        <v>2427</v>
      </c>
      <c r="H11" s="8" t="s">
        <v>1061</v>
      </c>
      <c r="I11" s="8" t="s">
        <v>2429</v>
      </c>
      <c r="J11" s="8" t="s">
        <v>1505</v>
      </c>
      <c r="K11" s="8" t="s">
        <v>2468</v>
      </c>
      <c r="L11" s="8" t="s">
        <v>2469</v>
      </c>
    </row>
    <row r="12" customFormat="false" ht="23.85" hidden="false" customHeight="false" outlineLevel="0" collapsed="false">
      <c r="A12" s="8" t="s">
        <v>2423</v>
      </c>
      <c r="B12" s="8" t="s">
        <v>2470</v>
      </c>
      <c r="C12" s="8" t="s">
        <v>2471</v>
      </c>
      <c r="D12" s="8" t="s">
        <v>2472</v>
      </c>
      <c r="E12" s="8" t="s">
        <v>397</v>
      </c>
      <c r="F12" s="8" t="s">
        <v>2473</v>
      </c>
      <c r="G12" s="8" t="s">
        <v>2427</v>
      </c>
      <c r="H12" s="8" t="s">
        <v>1065</v>
      </c>
      <c r="I12" s="8" t="s">
        <v>2429</v>
      </c>
      <c r="J12" s="8" t="s">
        <v>1505</v>
      </c>
      <c r="K12" s="8" t="s">
        <v>2474</v>
      </c>
      <c r="L12" s="8" t="s">
        <v>2475</v>
      </c>
    </row>
    <row r="13" customFormat="false" ht="23.85" hidden="false" customHeight="false" outlineLevel="0" collapsed="false">
      <c r="A13" s="8" t="s">
        <v>2423</v>
      </c>
      <c r="B13" s="8" t="s">
        <v>2476</v>
      </c>
      <c r="C13" s="8" t="s">
        <v>2477</v>
      </c>
      <c r="D13" s="8" t="s">
        <v>1846</v>
      </c>
      <c r="E13" s="8" t="s">
        <v>375</v>
      </c>
      <c r="F13" s="8" t="s">
        <v>1299</v>
      </c>
      <c r="G13" s="8" t="s">
        <v>2427</v>
      </c>
      <c r="H13" s="8" t="s">
        <v>2478</v>
      </c>
      <c r="I13" s="8" t="s">
        <v>2429</v>
      </c>
      <c r="J13" s="8" t="s">
        <v>1505</v>
      </c>
      <c r="K13" s="8" t="s">
        <v>2479</v>
      </c>
      <c r="L13" s="8" t="s">
        <v>2480</v>
      </c>
    </row>
    <row r="14" customFormat="false" ht="23.85" hidden="false" customHeight="false" outlineLevel="0" collapsed="false">
      <c r="A14" s="8" t="s">
        <v>2423</v>
      </c>
      <c r="B14" s="8" t="s">
        <v>2481</v>
      </c>
      <c r="C14" s="8" t="s">
        <v>2482</v>
      </c>
      <c r="D14" s="8" t="s">
        <v>2483</v>
      </c>
      <c r="E14" s="8" t="s">
        <v>2484</v>
      </c>
      <c r="F14" s="8" t="s">
        <v>2439</v>
      </c>
      <c r="G14" s="8" t="s">
        <v>2427</v>
      </c>
      <c r="H14" s="8" t="s">
        <v>2485</v>
      </c>
      <c r="I14" s="8" t="s">
        <v>2429</v>
      </c>
      <c r="J14" s="8" t="s">
        <v>1505</v>
      </c>
      <c r="K14" s="8" t="s">
        <v>2486</v>
      </c>
      <c r="L14" s="8" t="s">
        <v>2487</v>
      </c>
    </row>
    <row r="15" customFormat="false" ht="23.85" hidden="false" customHeight="false" outlineLevel="0" collapsed="false">
      <c r="A15" s="8" t="s">
        <v>2488</v>
      </c>
      <c r="B15" s="8" t="s">
        <v>2489</v>
      </c>
      <c r="C15" s="8" t="s">
        <v>2490</v>
      </c>
      <c r="D15" s="8" t="s">
        <v>1498</v>
      </c>
      <c r="E15" s="8" t="s">
        <v>1128</v>
      </c>
      <c r="F15" s="8" t="s">
        <v>2491</v>
      </c>
      <c r="G15" s="8" t="s">
        <v>2492</v>
      </c>
      <c r="H15" s="8" t="s">
        <v>1386</v>
      </c>
      <c r="I15" s="8" t="s">
        <v>2493</v>
      </c>
      <c r="J15" s="8" t="s">
        <v>1505</v>
      </c>
      <c r="K15" s="8" t="s">
        <v>2494</v>
      </c>
      <c r="L15" s="8" t="s">
        <v>2495</v>
      </c>
    </row>
    <row r="16" customFormat="false" ht="23.85" hidden="false" customHeight="false" outlineLevel="0" collapsed="false">
      <c r="A16" s="8" t="s">
        <v>2488</v>
      </c>
      <c r="B16" s="8" t="s">
        <v>2496</v>
      </c>
      <c r="C16" s="8" t="s">
        <v>2497</v>
      </c>
      <c r="D16" s="8" t="s">
        <v>1511</v>
      </c>
      <c r="E16" s="8" t="s">
        <v>1128</v>
      </c>
      <c r="F16" s="8" t="s">
        <v>2498</v>
      </c>
      <c r="G16" s="8" t="s">
        <v>2492</v>
      </c>
      <c r="H16" s="8" t="s">
        <v>1386</v>
      </c>
      <c r="I16" s="8" t="s">
        <v>2493</v>
      </c>
      <c r="J16" s="8" t="s">
        <v>1505</v>
      </c>
      <c r="K16" s="8" t="s">
        <v>2499</v>
      </c>
      <c r="L16" s="8" t="s">
        <v>1518</v>
      </c>
    </row>
    <row r="17" customFormat="false" ht="23.85" hidden="false" customHeight="false" outlineLevel="0" collapsed="false">
      <c r="A17" s="8" t="s">
        <v>2488</v>
      </c>
      <c r="B17" s="8" t="s">
        <v>2500</v>
      </c>
      <c r="C17" s="8" t="s">
        <v>2501</v>
      </c>
      <c r="D17" s="8" t="s">
        <v>1580</v>
      </c>
      <c r="E17" s="8" t="s">
        <v>1128</v>
      </c>
      <c r="F17" s="8" t="s">
        <v>2502</v>
      </c>
      <c r="G17" s="8" t="s">
        <v>2492</v>
      </c>
      <c r="H17" s="8" t="s">
        <v>2503</v>
      </c>
      <c r="I17" s="8" t="s">
        <v>2493</v>
      </c>
      <c r="J17" s="8" t="s">
        <v>1505</v>
      </c>
      <c r="K17" s="8" t="s">
        <v>2504</v>
      </c>
      <c r="L17" s="8" t="s">
        <v>2505</v>
      </c>
    </row>
    <row r="18" customFormat="false" ht="23.85" hidden="false" customHeight="false" outlineLevel="0" collapsed="false">
      <c r="A18" s="8" t="s">
        <v>2488</v>
      </c>
      <c r="B18" s="8" t="s">
        <v>2506</v>
      </c>
      <c r="C18" s="8" t="s">
        <v>2507</v>
      </c>
      <c r="D18" s="8" t="s">
        <v>2508</v>
      </c>
      <c r="E18" s="8" t="s">
        <v>2455</v>
      </c>
      <c r="F18" s="8" t="s">
        <v>2509</v>
      </c>
      <c r="G18" s="8" t="s">
        <v>2492</v>
      </c>
      <c r="H18" s="8" t="s">
        <v>2510</v>
      </c>
      <c r="I18" s="8" t="s">
        <v>2493</v>
      </c>
      <c r="J18" s="8" t="s">
        <v>1505</v>
      </c>
      <c r="K18" s="8" t="s">
        <v>2511</v>
      </c>
      <c r="L18" s="8" t="s">
        <v>2512</v>
      </c>
    </row>
    <row r="19" customFormat="false" ht="23.85" hidden="false" customHeight="false" outlineLevel="0" collapsed="false">
      <c r="A19" s="8" t="s">
        <v>2488</v>
      </c>
      <c r="B19" s="8" t="s">
        <v>2513</v>
      </c>
      <c r="C19" s="8" t="s">
        <v>2514</v>
      </c>
      <c r="D19" s="8" t="s">
        <v>2515</v>
      </c>
      <c r="E19" s="8" t="s">
        <v>1128</v>
      </c>
      <c r="F19" s="8" t="s">
        <v>1299</v>
      </c>
      <c r="G19" s="8" t="s">
        <v>2492</v>
      </c>
      <c r="H19" s="8" t="s">
        <v>1386</v>
      </c>
      <c r="I19" s="8" t="s">
        <v>2493</v>
      </c>
      <c r="J19" s="8" t="s">
        <v>1505</v>
      </c>
      <c r="K19" s="8" t="s">
        <v>2516</v>
      </c>
      <c r="L19" s="8" t="s">
        <v>2517</v>
      </c>
    </row>
    <row r="20" customFormat="false" ht="23.85" hidden="false" customHeight="false" outlineLevel="0" collapsed="false">
      <c r="A20" s="8" t="s">
        <v>2488</v>
      </c>
      <c r="B20" s="8" t="s">
        <v>2518</v>
      </c>
      <c r="C20" s="8" t="s">
        <v>1151</v>
      </c>
      <c r="D20" s="8" t="s">
        <v>2519</v>
      </c>
      <c r="E20" s="8" t="s">
        <v>1128</v>
      </c>
      <c r="F20" s="8" t="s">
        <v>2520</v>
      </c>
      <c r="G20" s="8" t="s">
        <v>2492</v>
      </c>
      <c r="H20" s="8" t="s">
        <v>576</v>
      </c>
      <c r="I20" s="8" t="s">
        <v>2493</v>
      </c>
      <c r="J20" s="8" t="s">
        <v>1505</v>
      </c>
      <c r="K20" s="8" t="s">
        <v>2521</v>
      </c>
      <c r="L20" s="8" t="s">
        <v>2522</v>
      </c>
    </row>
    <row r="21" customFormat="false" ht="23.85" hidden="false" customHeight="false" outlineLevel="0" collapsed="false">
      <c r="A21" s="8" t="s">
        <v>2488</v>
      </c>
      <c r="B21" s="8" t="s">
        <v>2523</v>
      </c>
      <c r="C21" s="8" t="s">
        <v>2524</v>
      </c>
      <c r="D21" s="8" t="s">
        <v>1563</v>
      </c>
      <c r="E21" s="8" t="s">
        <v>1128</v>
      </c>
      <c r="F21" s="8" t="s">
        <v>2473</v>
      </c>
      <c r="G21" s="8" t="s">
        <v>2492</v>
      </c>
      <c r="H21" s="8" t="s">
        <v>1065</v>
      </c>
      <c r="I21" s="8" t="s">
        <v>2493</v>
      </c>
      <c r="J21" s="8" t="s">
        <v>1505</v>
      </c>
      <c r="K21" s="8" t="s">
        <v>2525</v>
      </c>
      <c r="L21" s="8" t="s">
        <v>224</v>
      </c>
    </row>
    <row r="22" customFormat="false" ht="15" hidden="false" customHeight="false" outlineLevel="0" collapsed="false">
      <c r="A22" s="8" t="s">
        <v>2526</v>
      </c>
      <c r="B22" s="8" t="s">
        <v>2527</v>
      </c>
      <c r="C22" s="8" t="s">
        <v>2528</v>
      </c>
      <c r="D22" s="8" t="s">
        <v>903</v>
      </c>
      <c r="E22" s="8" t="s">
        <v>1653</v>
      </c>
      <c r="F22" s="8" t="s">
        <v>2502</v>
      </c>
      <c r="G22" s="8" t="s">
        <v>2529</v>
      </c>
      <c r="H22" s="8" t="s">
        <v>1061</v>
      </c>
      <c r="I22" s="8" t="s">
        <v>2530</v>
      </c>
      <c r="J22" s="8" t="s">
        <v>1505</v>
      </c>
      <c r="K22" s="8" t="s">
        <v>2531</v>
      </c>
      <c r="L22" s="8" t="s">
        <v>2464</v>
      </c>
    </row>
    <row r="23" customFormat="false" ht="15" hidden="false" customHeight="false" outlineLevel="0" collapsed="false">
      <c r="A23" s="8" t="s">
        <v>2526</v>
      </c>
      <c r="B23" s="8" t="s">
        <v>2532</v>
      </c>
      <c r="C23" s="8" t="s">
        <v>2533</v>
      </c>
      <c r="D23" s="8" t="s">
        <v>775</v>
      </c>
      <c r="E23" s="8" t="s">
        <v>1286</v>
      </c>
      <c r="F23" s="8" t="s">
        <v>2534</v>
      </c>
      <c r="G23" s="8" t="s">
        <v>2529</v>
      </c>
      <c r="H23" s="8" t="s">
        <v>1060</v>
      </c>
      <c r="I23" s="8" t="s">
        <v>2530</v>
      </c>
      <c r="J23" s="8" t="s">
        <v>1505</v>
      </c>
      <c r="K23" s="8" t="s">
        <v>2535</v>
      </c>
      <c r="L23" s="8" t="s">
        <v>2536</v>
      </c>
    </row>
    <row r="24" customFormat="false" ht="15" hidden="false" customHeight="false" outlineLevel="0" collapsed="false">
      <c r="A24" s="8" t="s">
        <v>2526</v>
      </c>
      <c r="B24" s="8" t="s">
        <v>2537</v>
      </c>
      <c r="C24" s="8" t="s">
        <v>2538</v>
      </c>
      <c r="D24" s="8" t="s">
        <v>1619</v>
      </c>
      <c r="E24" s="8" t="s">
        <v>1286</v>
      </c>
      <c r="F24" s="8" t="s">
        <v>2502</v>
      </c>
      <c r="G24" s="8" t="s">
        <v>2529</v>
      </c>
      <c r="H24" s="8" t="s">
        <v>1060</v>
      </c>
      <c r="I24" s="8" t="s">
        <v>2530</v>
      </c>
      <c r="J24" s="8" t="s">
        <v>1505</v>
      </c>
      <c r="K24" s="8" t="s">
        <v>2539</v>
      </c>
      <c r="L24" s="8" t="s">
        <v>2540</v>
      </c>
    </row>
    <row r="25" customFormat="false" ht="15" hidden="false" customHeight="false" outlineLevel="0" collapsed="false">
      <c r="A25" s="8" t="s">
        <v>2526</v>
      </c>
      <c r="B25" s="8" t="s">
        <v>2541</v>
      </c>
      <c r="C25" s="8" t="s">
        <v>2542</v>
      </c>
      <c r="D25" s="8" t="s">
        <v>1641</v>
      </c>
      <c r="E25" s="8" t="s">
        <v>1286</v>
      </c>
      <c r="F25" s="8" t="s">
        <v>2543</v>
      </c>
      <c r="G25" s="8" t="s">
        <v>2529</v>
      </c>
      <c r="H25" s="8" t="s">
        <v>1074</v>
      </c>
      <c r="I25" s="8" t="s">
        <v>2530</v>
      </c>
      <c r="J25" s="8" t="s">
        <v>1505</v>
      </c>
      <c r="K25" s="8" t="s">
        <v>2544</v>
      </c>
      <c r="L25" s="8" t="s">
        <v>2545</v>
      </c>
    </row>
    <row r="26" customFormat="false" ht="23.85" hidden="false" customHeight="false" outlineLevel="0" collapsed="false">
      <c r="A26" s="8" t="s">
        <v>2526</v>
      </c>
      <c r="B26" s="8" t="s">
        <v>2546</v>
      </c>
      <c r="C26" s="8" t="s">
        <v>1700</v>
      </c>
      <c r="D26" s="8" t="s">
        <v>1699</v>
      </c>
      <c r="E26" s="8" t="s">
        <v>1653</v>
      </c>
      <c r="F26" s="8" t="s">
        <v>2547</v>
      </c>
      <c r="G26" s="8" t="s">
        <v>2529</v>
      </c>
      <c r="H26" s="8" t="s">
        <v>1061</v>
      </c>
      <c r="I26" s="8" t="s">
        <v>2530</v>
      </c>
      <c r="J26" s="8" t="s">
        <v>1505</v>
      </c>
      <c r="K26" s="8" t="s">
        <v>2548</v>
      </c>
      <c r="L26" s="8" t="s">
        <v>2549</v>
      </c>
    </row>
    <row r="27" customFormat="false" ht="15" hidden="false" customHeight="false" outlineLevel="0" collapsed="false">
      <c r="A27" s="8" t="s">
        <v>2526</v>
      </c>
      <c r="B27" s="8" t="s">
        <v>2550</v>
      </c>
      <c r="C27" s="8" t="s">
        <v>2551</v>
      </c>
      <c r="D27" s="8" t="s">
        <v>2552</v>
      </c>
      <c r="E27" s="8" t="s">
        <v>1653</v>
      </c>
      <c r="F27" s="8" t="s">
        <v>2553</v>
      </c>
      <c r="G27" s="8" t="s">
        <v>2529</v>
      </c>
      <c r="H27" s="8" t="s">
        <v>2554</v>
      </c>
      <c r="I27" s="8" t="s">
        <v>2530</v>
      </c>
      <c r="J27" s="8" t="s">
        <v>1505</v>
      </c>
      <c r="K27" s="8" t="s">
        <v>2555</v>
      </c>
      <c r="L27" s="8" t="s">
        <v>2556</v>
      </c>
    </row>
    <row r="28" customFormat="false" ht="15" hidden="false" customHeight="false" outlineLevel="0" collapsed="false">
      <c r="A28" s="8" t="s">
        <v>2557</v>
      </c>
      <c r="B28" s="8" t="s">
        <v>2558</v>
      </c>
      <c r="C28" s="8" t="s">
        <v>2559</v>
      </c>
      <c r="D28" s="8" t="s">
        <v>1707</v>
      </c>
      <c r="E28" s="8" t="s">
        <v>330</v>
      </c>
      <c r="F28" s="8" t="s">
        <v>2560</v>
      </c>
      <c r="G28" s="8" t="s">
        <v>2561</v>
      </c>
      <c r="H28" s="8" t="s">
        <v>1085</v>
      </c>
      <c r="I28" s="8" t="s">
        <v>2530</v>
      </c>
      <c r="J28" s="8" t="s">
        <v>1505</v>
      </c>
      <c r="K28" s="8" t="s">
        <v>2562</v>
      </c>
      <c r="L28" s="8" t="s">
        <v>2563</v>
      </c>
    </row>
    <row r="29" customFormat="false" ht="15" hidden="false" customHeight="false" outlineLevel="0" collapsed="false">
      <c r="A29" s="8" t="s">
        <v>2557</v>
      </c>
      <c r="B29" s="8" t="s">
        <v>2564</v>
      </c>
      <c r="C29" s="8" t="s">
        <v>2565</v>
      </c>
      <c r="D29" s="8" t="s">
        <v>1716</v>
      </c>
      <c r="E29" s="8" t="s">
        <v>330</v>
      </c>
      <c r="F29" s="8" t="s">
        <v>2473</v>
      </c>
      <c r="G29" s="8" t="s">
        <v>2561</v>
      </c>
      <c r="H29" s="8" t="s">
        <v>1081</v>
      </c>
      <c r="I29" s="8" t="s">
        <v>2530</v>
      </c>
      <c r="J29" s="8" t="s">
        <v>1505</v>
      </c>
      <c r="K29" s="8" t="s">
        <v>2566</v>
      </c>
      <c r="L29" s="8" t="s">
        <v>2567</v>
      </c>
    </row>
    <row r="30" customFormat="false" ht="23.85" hidden="false" customHeight="false" outlineLevel="0" collapsed="false">
      <c r="A30" s="8" t="s">
        <v>2557</v>
      </c>
      <c r="B30" s="8" t="s">
        <v>2568</v>
      </c>
      <c r="C30" s="8" t="s">
        <v>2569</v>
      </c>
      <c r="D30" s="8" t="s">
        <v>2570</v>
      </c>
      <c r="E30" s="8" t="s">
        <v>330</v>
      </c>
      <c r="F30" s="8" t="s">
        <v>2571</v>
      </c>
      <c r="G30" s="8" t="s">
        <v>2561</v>
      </c>
      <c r="H30" s="8" t="s">
        <v>1065</v>
      </c>
      <c r="I30" s="8" t="s">
        <v>2530</v>
      </c>
      <c r="J30" s="8" t="s">
        <v>1505</v>
      </c>
      <c r="K30" s="8" t="s">
        <v>2572</v>
      </c>
      <c r="L30" s="8" t="s">
        <v>224</v>
      </c>
    </row>
    <row r="31" customFormat="false" ht="15" hidden="false" customHeight="false" outlineLevel="0" collapsed="false">
      <c r="A31" s="8" t="s">
        <v>2557</v>
      </c>
      <c r="B31" s="8" t="s">
        <v>2573</v>
      </c>
      <c r="C31" s="8" t="s">
        <v>2574</v>
      </c>
      <c r="D31" s="8" t="s">
        <v>818</v>
      </c>
      <c r="E31" s="8" t="s">
        <v>330</v>
      </c>
      <c r="F31" s="8" t="s">
        <v>2575</v>
      </c>
      <c r="G31" s="8" t="s">
        <v>2561</v>
      </c>
      <c r="H31" s="8" t="s">
        <v>2576</v>
      </c>
      <c r="I31" s="8" t="s">
        <v>2530</v>
      </c>
      <c r="J31" s="8" t="s">
        <v>1505</v>
      </c>
      <c r="K31" s="8" t="s">
        <v>2577</v>
      </c>
      <c r="L31" s="8" t="s">
        <v>2578</v>
      </c>
    </row>
    <row r="32" customFormat="false" ht="15" hidden="false" customHeight="false" outlineLevel="0" collapsed="false">
      <c r="A32" s="8" t="s">
        <v>2557</v>
      </c>
      <c r="B32" s="8" t="s">
        <v>2579</v>
      </c>
      <c r="C32" s="8" t="s">
        <v>2580</v>
      </c>
      <c r="D32" s="8" t="s">
        <v>827</v>
      </c>
      <c r="E32" s="8" t="s">
        <v>330</v>
      </c>
      <c r="F32" s="8" t="s">
        <v>2553</v>
      </c>
      <c r="G32" s="8" t="s">
        <v>2561</v>
      </c>
      <c r="H32" s="8" t="s">
        <v>1081</v>
      </c>
      <c r="I32" s="8" t="s">
        <v>2530</v>
      </c>
      <c r="J32" s="8" t="s">
        <v>1505</v>
      </c>
      <c r="K32" s="8" t="s">
        <v>2581</v>
      </c>
      <c r="L32" s="8" t="s">
        <v>2582</v>
      </c>
    </row>
    <row r="33" customFormat="false" ht="15" hidden="false" customHeight="false" outlineLevel="0" collapsed="false">
      <c r="A33" s="8" t="s">
        <v>2583</v>
      </c>
      <c r="B33" s="8" t="s">
        <v>2584</v>
      </c>
      <c r="C33" s="8" t="s">
        <v>2585</v>
      </c>
      <c r="D33" s="8" t="s">
        <v>943</v>
      </c>
      <c r="E33" s="8" t="s">
        <v>1369</v>
      </c>
      <c r="F33" s="8" t="s">
        <v>2586</v>
      </c>
      <c r="G33" s="8" t="s">
        <v>2587</v>
      </c>
      <c r="H33" s="8" t="s">
        <v>1102</v>
      </c>
      <c r="I33" s="8" t="s">
        <v>2530</v>
      </c>
      <c r="J33" s="8" t="s">
        <v>1505</v>
      </c>
      <c r="K33" s="8" t="s">
        <v>2588</v>
      </c>
      <c r="L33" s="8" t="s">
        <v>2589</v>
      </c>
    </row>
    <row r="34" customFormat="false" ht="15" hidden="false" customHeight="false" outlineLevel="0" collapsed="false">
      <c r="A34" s="8" t="s">
        <v>2583</v>
      </c>
      <c r="B34" s="8" t="s">
        <v>2590</v>
      </c>
      <c r="C34" s="8" t="s">
        <v>1754</v>
      </c>
      <c r="D34" s="8" t="s">
        <v>1753</v>
      </c>
      <c r="E34" s="8" t="s">
        <v>1369</v>
      </c>
      <c r="F34" s="8" t="s">
        <v>2560</v>
      </c>
      <c r="G34" s="8" t="s">
        <v>2587</v>
      </c>
      <c r="H34" s="8" t="s">
        <v>1085</v>
      </c>
      <c r="I34" s="8" t="s">
        <v>2530</v>
      </c>
      <c r="J34" s="8" t="s">
        <v>1505</v>
      </c>
      <c r="K34" s="8" t="s">
        <v>2591</v>
      </c>
      <c r="L34" s="8" t="s">
        <v>2592</v>
      </c>
    </row>
    <row r="35" customFormat="false" ht="15" hidden="false" customHeight="false" outlineLevel="0" collapsed="false">
      <c r="A35" s="8" t="s">
        <v>2583</v>
      </c>
      <c r="B35" s="8" t="s">
        <v>2593</v>
      </c>
      <c r="C35" s="8" t="s">
        <v>1760</v>
      </c>
      <c r="D35" s="8" t="s">
        <v>1759</v>
      </c>
      <c r="E35" s="8" t="s">
        <v>1369</v>
      </c>
      <c r="F35" s="8" t="s">
        <v>1930</v>
      </c>
      <c r="G35" s="8" t="s">
        <v>2587</v>
      </c>
      <c r="H35" s="8" t="s">
        <v>1085</v>
      </c>
      <c r="I35" s="8" t="s">
        <v>2530</v>
      </c>
      <c r="J35" s="8" t="s">
        <v>1505</v>
      </c>
      <c r="K35" s="8" t="s">
        <v>2594</v>
      </c>
      <c r="L35" s="8" t="s">
        <v>2595</v>
      </c>
    </row>
    <row r="36" customFormat="false" ht="15" hidden="false" customHeight="false" outlineLevel="0" collapsed="false">
      <c r="A36" s="8" t="s">
        <v>2583</v>
      </c>
      <c r="B36" s="8" t="s">
        <v>2596</v>
      </c>
      <c r="C36" s="8" t="s">
        <v>2597</v>
      </c>
      <c r="D36" s="8" t="s">
        <v>957</v>
      </c>
      <c r="E36" s="8" t="s">
        <v>1369</v>
      </c>
      <c r="F36" s="8" t="s">
        <v>2553</v>
      </c>
      <c r="G36" s="8" t="s">
        <v>2587</v>
      </c>
      <c r="H36" s="8" t="s">
        <v>1091</v>
      </c>
      <c r="I36" s="8" t="s">
        <v>2530</v>
      </c>
      <c r="J36" s="8" t="s">
        <v>1505</v>
      </c>
      <c r="K36" s="8" t="s">
        <v>2598</v>
      </c>
      <c r="L36" s="8" t="s">
        <v>2599</v>
      </c>
    </row>
    <row r="37" customFormat="false" ht="15" hidden="false" customHeight="false" outlineLevel="0" collapsed="false">
      <c r="A37" s="8" t="s">
        <v>2583</v>
      </c>
      <c r="B37" s="8" t="s">
        <v>2600</v>
      </c>
      <c r="C37" s="8" t="s">
        <v>2601</v>
      </c>
      <c r="D37" s="8" t="s">
        <v>2602</v>
      </c>
      <c r="E37" s="8" t="s">
        <v>1369</v>
      </c>
      <c r="F37" s="8" t="s">
        <v>2603</v>
      </c>
      <c r="G37" s="8" t="s">
        <v>2587</v>
      </c>
      <c r="H37" s="8" t="s">
        <v>1085</v>
      </c>
      <c r="I37" s="8" t="s">
        <v>2530</v>
      </c>
      <c r="J37" s="8" t="s">
        <v>1505</v>
      </c>
      <c r="K37" s="8" t="s">
        <v>2604</v>
      </c>
      <c r="L37" s="8" t="s">
        <v>2605</v>
      </c>
    </row>
    <row r="38" customFormat="false" ht="23.85" hidden="false" customHeight="false" outlineLevel="0" collapsed="false">
      <c r="A38" s="8" t="s">
        <v>2606</v>
      </c>
      <c r="B38" s="8" t="s">
        <v>2607</v>
      </c>
      <c r="C38" s="8" t="s">
        <v>2608</v>
      </c>
      <c r="D38" s="8" t="s">
        <v>1774</v>
      </c>
      <c r="E38" s="8" t="s">
        <v>397</v>
      </c>
      <c r="F38" s="8" t="s">
        <v>2553</v>
      </c>
      <c r="G38" s="8" t="s">
        <v>2609</v>
      </c>
      <c r="H38" s="8" t="s">
        <v>1114</v>
      </c>
      <c r="I38" s="8" t="s">
        <v>2530</v>
      </c>
      <c r="J38" s="8" t="s">
        <v>2610</v>
      </c>
      <c r="K38" s="8" t="s">
        <v>2611</v>
      </c>
      <c r="L38" s="8" t="s">
        <v>2536</v>
      </c>
    </row>
    <row r="39" customFormat="false" ht="23.85" hidden="false" customHeight="false" outlineLevel="0" collapsed="false">
      <c r="A39" s="8" t="s">
        <v>2606</v>
      </c>
      <c r="B39" s="8" t="s">
        <v>2612</v>
      </c>
      <c r="C39" s="8" t="s">
        <v>2613</v>
      </c>
      <c r="D39" s="8" t="s">
        <v>2614</v>
      </c>
      <c r="E39" s="8" t="s">
        <v>397</v>
      </c>
      <c r="F39" s="8" t="s">
        <v>2473</v>
      </c>
      <c r="G39" s="8" t="s">
        <v>2609</v>
      </c>
      <c r="H39" s="8" t="s">
        <v>1065</v>
      </c>
      <c r="I39" s="8" t="s">
        <v>2530</v>
      </c>
      <c r="J39" s="8" t="s">
        <v>2610</v>
      </c>
      <c r="K39" s="8" t="s">
        <v>2615</v>
      </c>
      <c r="L39" s="8" t="s">
        <v>2616</v>
      </c>
    </row>
    <row r="40" customFormat="false" ht="23.85" hidden="false" customHeight="false" outlineLevel="0" collapsed="false">
      <c r="A40" s="8" t="s">
        <v>2606</v>
      </c>
      <c r="B40" s="8" t="s">
        <v>2617</v>
      </c>
      <c r="C40" s="8" t="s">
        <v>1422</v>
      </c>
      <c r="D40" s="8" t="s">
        <v>1797</v>
      </c>
      <c r="E40" s="8" t="s">
        <v>397</v>
      </c>
      <c r="F40" s="8" t="s">
        <v>2618</v>
      </c>
      <c r="G40" s="8" t="s">
        <v>2609</v>
      </c>
      <c r="H40" s="8" t="s">
        <v>1114</v>
      </c>
      <c r="I40" s="8" t="s">
        <v>2530</v>
      </c>
      <c r="J40" s="8" t="s">
        <v>2610</v>
      </c>
      <c r="K40" s="8" t="s">
        <v>2619</v>
      </c>
      <c r="L40" s="8" t="s">
        <v>2620</v>
      </c>
    </row>
    <row r="41" customFormat="false" ht="23.85" hidden="false" customHeight="false" outlineLevel="0" collapsed="false">
      <c r="A41" s="8" t="s">
        <v>2606</v>
      </c>
      <c r="B41" s="8" t="s">
        <v>2621</v>
      </c>
      <c r="C41" s="8" t="s">
        <v>2622</v>
      </c>
      <c r="D41" s="8" t="s">
        <v>1786</v>
      </c>
      <c r="E41" s="8" t="s">
        <v>397</v>
      </c>
      <c r="F41" s="8" t="s">
        <v>2623</v>
      </c>
      <c r="G41" s="8" t="s">
        <v>2609</v>
      </c>
      <c r="H41" s="8" t="s">
        <v>2576</v>
      </c>
      <c r="I41" s="8" t="s">
        <v>2530</v>
      </c>
      <c r="J41" s="8" t="s">
        <v>2610</v>
      </c>
      <c r="K41" s="8" t="s">
        <v>2624</v>
      </c>
      <c r="L41" s="8" t="s">
        <v>2451</v>
      </c>
    </row>
    <row r="42" customFormat="false" ht="23.85" hidden="false" customHeight="false" outlineLevel="0" collapsed="false">
      <c r="A42" s="8" t="s">
        <v>2606</v>
      </c>
      <c r="B42" s="8" t="s">
        <v>2625</v>
      </c>
      <c r="C42" s="8" t="s">
        <v>2626</v>
      </c>
      <c r="D42" s="8" t="s">
        <v>1811</v>
      </c>
      <c r="E42" s="8" t="s">
        <v>397</v>
      </c>
      <c r="F42" s="8" t="s">
        <v>2627</v>
      </c>
      <c r="G42" s="8" t="s">
        <v>2609</v>
      </c>
      <c r="H42" s="8" t="s">
        <v>1114</v>
      </c>
      <c r="I42" s="8" t="s">
        <v>2530</v>
      </c>
      <c r="J42" s="8" t="s">
        <v>2610</v>
      </c>
      <c r="K42" s="8" t="s">
        <v>2628</v>
      </c>
      <c r="L42" s="8" t="s">
        <v>2629</v>
      </c>
    </row>
    <row r="43" customFormat="false" ht="23.85" hidden="false" customHeight="false" outlineLevel="0" collapsed="false">
      <c r="A43" s="8" t="s">
        <v>2606</v>
      </c>
      <c r="B43" s="8" t="s">
        <v>2630</v>
      </c>
      <c r="C43" s="8" t="s">
        <v>993</v>
      </c>
      <c r="D43" s="8" t="s">
        <v>994</v>
      </c>
      <c r="E43" s="8" t="s">
        <v>397</v>
      </c>
      <c r="F43" s="8" t="s">
        <v>2543</v>
      </c>
      <c r="G43" s="8" t="s">
        <v>2609</v>
      </c>
      <c r="H43" s="8" t="s">
        <v>1091</v>
      </c>
      <c r="I43" s="8" t="s">
        <v>2530</v>
      </c>
      <c r="J43" s="8" t="s">
        <v>2610</v>
      </c>
      <c r="K43" s="8" t="s">
        <v>2631</v>
      </c>
      <c r="L43" s="8" t="s">
        <v>2632</v>
      </c>
    </row>
    <row r="44" customFormat="false" ht="15" hidden="false" customHeight="false" outlineLevel="0" collapsed="false">
      <c r="A44" s="8" t="s">
        <v>2633</v>
      </c>
      <c r="B44" s="8" t="s">
        <v>2634</v>
      </c>
      <c r="C44" s="8" t="s">
        <v>669</v>
      </c>
      <c r="D44" s="8" t="s">
        <v>2635</v>
      </c>
      <c r="E44" s="8" t="s">
        <v>375</v>
      </c>
      <c r="F44" s="8" t="s">
        <v>1299</v>
      </c>
      <c r="G44" s="8" t="s">
        <v>2636</v>
      </c>
      <c r="H44" s="8" t="s">
        <v>2478</v>
      </c>
      <c r="I44" s="8" t="s">
        <v>2637</v>
      </c>
      <c r="J44" s="8" t="s">
        <v>1505</v>
      </c>
      <c r="K44" s="8" t="s">
        <v>2638</v>
      </c>
      <c r="L44" s="8" t="s">
        <v>2639</v>
      </c>
    </row>
    <row r="45" customFormat="false" ht="15" hidden="false" customHeight="false" outlineLevel="0" collapsed="false">
      <c r="A45" s="8" t="s">
        <v>2633</v>
      </c>
      <c r="B45" s="8" t="s">
        <v>2640</v>
      </c>
      <c r="C45" s="8" t="s">
        <v>2641</v>
      </c>
      <c r="D45" s="8" t="s">
        <v>912</v>
      </c>
      <c r="E45" s="8" t="s">
        <v>375</v>
      </c>
      <c r="F45" s="8" t="s">
        <v>2553</v>
      </c>
      <c r="G45" s="8" t="s">
        <v>2636</v>
      </c>
      <c r="H45" s="8" t="s">
        <v>2478</v>
      </c>
      <c r="I45" s="8" t="s">
        <v>2637</v>
      </c>
      <c r="J45" s="8" t="s">
        <v>1505</v>
      </c>
      <c r="K45" s="8" t="s">
        <v>2642</v>
      </c>
      <c r="L45" s="8" t="s">
        <v>2643</v>
      </c>
    </row>
    <row r="46" customFormat="false" ht="15" hidden="false" customHeight="false" outlineLevel="0" collapsed="false">
      <c r="A46" s="8" t="s">
        <v>2633</v>
      </c>
      <c r="B46" s="8" t="s">
        <v>2644</v>
      </c>
      <c r="C46" s="8" t="s">
        <v>2645</v>
      </c>
      <c r="D46" s="8" t="s">
        <v>934</v>
      </c>
      <c r="E46" s="8" t="s">
        <v>375</v>
      </c>
      <c r="F46" s="8" t="s">
        <v>2502</v>
      </c>
      <c r="G46" s="8" t="s">
        <v>2636</v>
      </c>
      <c r="H46" s="8" t="s">
        <v>2478</v>
      </c>
      <c r="I46" s="8" t="s">
        <v>2637</v>
      </c>
      <c r="J46" s="8" t="s">
        <v>1505</v>
      </c>
      <c r="K46" s="8" t="s">
        <v>2646</v>
      </c>
      <c r="L46" s="8" t="s">
        <v>2647</v>
      </c>
    </row>
    <row r="47" customFormat="false" ht="23.85" hidden="false" customHeight="false" outlineLevel="0" collapsed="false">
      <c r="A47" s="8" t="s">
        <v>2633</v>
      </c>
      <c r="B47" s="8" t="s">
        <v>2648</v>
      </c>
      <c r="C47" s="8" t="s">
        <v>2649</v>
      </c>
      <c r="D47" s="8" t="s">
        <v>2650</v>
      </c>
      <c r="E47" s="8" t="s">
        <v>375</v>
      </c>
      <c r="F47" s="8" t="s">
        <v>2651</v>
      </c>
      <c r="G47" s="8" t="s">
        <v>2636</v>
      </c>
      <c r="H47" s="8" t="s">
        <v>2652</v>
      </c>
      <c r="I47" s="8" t="s">
        <v>2637</v>
      </c>
      <c r="J47" s="8" t="s">
        <v>1505</v>
      </c>
      <c r="K47" s="8" t="s">
        <v>2653</v>
      </c>
      <c r="L47" s="8" t="s">
        <v>2654</v>
      </c>
    </row>
  </sheetData>
  <autoFilter ref="A3:L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8"/>
  </cols>
  <sheetData>
    <row r="1" customFormat="false" ht="17.35" hidden="false" customHeight="false" outlineLevel="0" collapsed="false">
      <c r="A1" s="1" t="s">
        <v>2655</v>
      </c>
    </row>
    <row r="2" customFormat="false" ht="15" hidden="false" customHeight="false" outlineLevel="0" collapsed="false">
      <c r="A2" s="6" t="s">
        <v>51</v>
      </c>
    </row>
    <row r="3" customFormat="false" ht="23.85" hidden="false" customHeight="false" outlineLevel="0" collapsed="false">
      <c r="A3" s="7" t="s">
        <v>2656</v>
      </c>
      <c r="B3" s="7" t="s">
        <v>2657</v>
      </c>
      <c r="C3" s="7" t="s">
        <v>2658</v>
      </c>
      <c r="D3" s="7" t="s">
        <v>2659</v>
      </c>
      <c r="E3" s="7" t="s">
        <v>2660</v>
      </c>
      <c r="F3" s="7" t="s">
        <v>2661</v>
      </c>
      <c r="G3" s="7" t="s">
        <v>2662</v>
      </c>
      <c r="H3" s="7" t="s">
        <v>2663</v>
      </c>
      <c r="I3" s="7" t="s">
        <v>1244</v>
      </c>
      <c r="J3" s="7" t="s">
        <v>2664</v>
      </c>
    </row>
    <row r="4" customFormat="false" ht="23.85" hidden="false" customHeight="false" outlineLevel="0" collapsed="false">
      <c r="A4" s="8" t="s">
        <v>63</v>
      </c>
      <c r="B4" s="8" t="s">
        <v>2665</v>
      </c>
      <c r="C4" s="8" t="s">
        <v>15</v>
      </c>
      <c r="D4" s="8" t="s">
        <v>2666</v>
      </c>
      <c r="E4" s="8" t="s">
        <v>2667</v>
      </c>
      <c r="F4" s="8" t="s">
        <v>2668</v>
      </c>
      <c r="G4" s="8" t="s">
        <v>2669</v>
      </c>
      <c r="H4" s="8" t="s">
        <v>2670</v>
      </c>
      <c r="I4" s="8" t="s">
        <v>2671</v>
      </c>
      <c r="J4" s="8" t="s">
        <v>2672</v>
      </c>
    </row>
    <row r="5" customFormat="false" ht="23.85" hidden="false" customHeight="false" outlineLevel="0" collapsed="false">
      <c r="A5" s="8" t="s">
        <v>63</v>
      </c>
      <c r="B5" s="8" t="s">
        <v>2673</v>
      </c>
      <c r="C5" s="8" t="s">
        <v>15</v>
      </c>
      <c r="D5" s="8" t="s">
        <v>2674</v>
      </c>
      <c r="E5" s="8" t="s">
        <v>2675</v>
      </c>
      <c r="F5" s="8" t="s">
        <v>2676</v>
      </c>
      <c r="G5" s="8" t="s">
        <v>2668</v>
      </c>
      <c r="H5" s="8" t="s">
        <v>2677</v>
      </c>
      <c r="I5" s="8" t="s">
        <v>2671</v>
      </c>
      <c r="J5" s="8" t="s">
        <v>2672</v>
      </c>
    </row>
    <row r="6" customFormat="false" ht="23.85" hidden="false" customHeight="false" outlineLevel="0" collapsed="false">
      <c r="A6" s="8" t="s">
        <v>63</v>
      </c>
      <c r="B6" s="8" t="s">
        <v>2678</v>
      </c>
      <c r="C6" s="8" t="s">
        <v>15</v>
      </c>
      <c r="D6" s="8" t="s">
        <v>2679</v>
      </c>
      <c r="E6" s="8" t="s">
        <v>2680</v>
      </c>
      <c r="F6" s="8" t="s">
        <v>2681</v>
      </c>
      <c r="G6" s="8" t="s">
        <v>2682</v>
      </c>
      <c r="H6" s="8" t="s">
        <v>2683</v>
      </c>
      <c r="I6" s="8" t="s">
        <v>2671</v>
      </c>
      <c r="J6" s="8" t="s">
        <v>2672</v>
      </c>
    </row>
    <row r="7" customFormat="false" ht="15" hidden="false" customHeight="false" outlineLevel="0" collapsed="false">
      <c r="A7" s="8" t="s">
        <v>63</v>
      </c>
      <c r="B7" s="8" t="s">
        <v>2684</v>
      </c>
      <c r="C7" s="8" t="s">
        <v>15</v>
      </c>
      <c r="D7" s="8" t="s">
        <v>2685</v>
      </c>
      <c r="E7" s="8" t="s">
        <v>2686</v>
      </c>
      <c r="F7" s="8" t="s">
        <v>2687</v>
      </c>
      <c r="G7" s="8" t="s">
        <v>2688</v>
      </c>
      <c r="H7" s="8" t="s">
        <v>2689</v>
      </c>
      <c r="I7" s="8" t="s">
        <v>2671</v>
      </c>
      <c r="J7" s="8" t="s">
        <v>2672</v>
      </c>
    </row>
    <row r="10" customFormat="false" ht="15" hidden="false" customHeight="false" outlineLevel="0" collapsed="false">
      <c r="A10" s="5" t="s">
        <v>2690</v>
      </c>
    </row>
    <row r="11" customFormat="false" ht="15" hidden="false" customHeight="false" outlineLevel="0" collapsed="false">
      <c r="A11" s="2" t="s">
        <v>2691</v>
      </c>
      <c r="B11" s="2" t="s">
        <v>2692</v>
      </c>
    </row>
    <row r="12" customFormat="false" ht="15" hidden="false" customHeight="false" outlineLevel="0" collapsed="false">
      <c r="A12" s="2" t="s">
        <v>2693</v>
      </c>
      <c r="B12" s="2" t="s">
        <v>2694</v>
      </c>
    </row>
    <row r="13" customFormat="false" ht="15" hidden="false" customHeight="false" outlineLevel="0" collapsed="false">
      <c r="A13" s="2" t="s">
        <v>2695</v>
      </c>
      <c r="B13" s="2" t="s">
        <v>2696</v>
      </c>
    </row>
    <row r="14" customFormat="false" ht="15" hidden="false" customHeight="false" outlineLevel="0" collapsed="false">
      <c r="A14" s="2" t="s">
        <v>2697</v>
      </c>
      <c r="B14" s="2" t="s">
        <v>2698</v>
      </c>
    </row>
    <row r="15" customFormat="false" ht="15" hidden="false" customHeight="false" outlineLevel="0" collapsed="false">
      <c r="A15" s="2" t="s">
        <v>2699</v>
      </c>
      <c r="B15" s="2" t="s">
        <v>2700</v>
      </c>
    </row>
    <row r="16" customFormat="false" ht="15" hidden="false" customHeight="false" outlineLevel="0" collapsed="false">
      <c r="A16" s="2" t="s">
        <v>2701</v>
      </c>
      <c r="B16" s="2" t="s">
        <v>2702</v>
      </c>
    </row>
    <row r="17" customFormat="false" ht="15" hidden="false" customHeight="false" outlineLevel="0" collapsed="false">
      <c r="A17" s="2" t="s">
        <v>2703</v>
      </c>
      <c r="B17" s="2" t="s">
        <v>2704</v>
      </c>
    </row>
  </sheetData>
  <autoFilter ref="A3:J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2705</v>
      </c>
    </row>
    <row r="2" customFormat="false" ht="15" hidden="false" customHeight="false" outlineLevel="0" collapsed="false">
      <c r="A2" s="6" t="s">
        <v>51</v>
      </c>
    </row>
    <row r="3" customFormat="false" ht="35.05" hidden="false" customHeight="false" outlineLevel="0" collapsed="false">
      <c r="A3" s="7" t="s">
        <v>2706</v>
      </c>
      <c r="B3" s="7" t="s">
        <v>2707</v>
      </c>
      <c r="C3" s="7" t="s">
        <v>2708</v>
      </c>
      <c r="D3" s="7" t="s">
        <v>1997</v>
      </c>
      <c r="E3" s="7" t="s">
        <v>2709</v>
      </c>
      <c r="F3" s="7" t="s">
        <v>2660</v>
      </c>
    </row>
    <row r="4" customFormat="false" ht="15" hidden="false" customHeight="false" outlineLevel="0" collapsed="false">
      <c r="A4" s="8" t="s">
        <v>2710</v>
      </c>
      <c r="B4" s="8" t="n">
        <v>4</v>
      </c>
      <c r="C4" s="8" t="n">
        <v>0</v>
      </c>
      <c r="D4" s="8" t="s">
        <v>2711</v>
      </c>
      <c r="E4" s="8" t="s">
        <v>138</v>
      </c>
      <c r="F4" s="8" t="s">
        <v>2712</v>
      </c>
    </row>
    <row r="5" customFormat="false" ht="15" hidden="false" customHeight="false" outlineLevel="0" collapsed="false">
      <c r="A5" s="8" t="s">
        <v>2713</v>
      </c>
      <c r="B5" s="8" t="n">
        <v>4</v>
      </c>
      <c r="C5" s="8" t="n">
        <v>0</v>
      </c>
      <c r="D5" s="8" t="s">
        <v>2714</v>
      </c>
      <c r="E5" s="8" t="s">
        <v>138</v>
      </c>
      <c r="F5" s="8" t="s">
        <v>2715</v>
      </c>
    </row>
    <row r="6" customFormat="false" ht="15" hidden="false" customHeight="false" outlineLevel="0" collapsed="false">
      <c r="A6" s="8" t="s">
        <v>2716</v>
      </c>
      <c r="B6" s="8" t="n">
        <v>4</v>
      </c>
      <c r="C6" s="8" t="n">
        <v>0</v>
      </c>
      <c r="D6" s="8" t="s">
        <v>2717</v>
      </c>
      <c r="E6" s="8" t="s">
        <v>132</v>
      </c>
      <c r="F6" s="8" t="s">
        <v>2718</v>
      </c>
    </row>
    <row r="7" customFormat="false" ht="23.85" hidden="false" customHeight="false" outlineLevel="0" collapsed="false">
      <c r="A7" s="8" t="s">
        <v>2719</v>
      </c>
      <c r="B7" s="8" t="n">
        <v>4</v>
      </c>
      <c r="C7" s="8" t="n">
        <v>0</v>
      </c>
      <c r="D7" s="8" t="s">
        <v>2720</v>
      </c>
      <c r="E7" s="8" t="s">
        <v>132</v>
      </c>
      <c r="F7" s="8" t="s">
        <v>2721</v>
      </c>
    </row>
    <row r="8" customFormat="false" ht="15" hidden="false" customHeight="false" outlineLevel="0" collapsed="false">
      <c r="A8" s="8" t="s">
        <v>2722</v>
      </c>
      <c r="B8" s="8" t="n">
        <v>3</v>
      </c>
      <c r="C8" s="8" t="n">
        <v>0</v>
      </c>
      <c r="D8" s="8" t="s">
        <v>2723</v>
      </c>
      <c r="E8" s="8" t="s">
        <v>132</v>
      </c>
      <c r="F8" s="8" t="s">
        <v>2724</v>
      </c>
    </row>
    <row r="9" customFormat="false" ht="15" hidden="false" customHeight="false" outlineLevel="0" collapsed="false">
      <c r="A9" s="8" t="s">
        <v>2725</v>
      </c>
      <c r="B9" s="8" t="n">
        <v>3</v>
      </c>
      <c r="C9" s="8" t="n">
        <v>0</v>
      </c>
      <c r="D9" s="8" t="s">
        <v>2726</v>
      </c>
      <c r="E9" s="8" t="s">
        <v>156</v>
      </c>
      <c r="F9" s="8" t="s">
        <v>2727</v>
      </c>
    </row>
    <row r="10" customFormat="false" ht="15" hidden="false" customHeight="false" outlineLevel="0" collapsed="false">
      <c r="A10" s="8" t="s">
        <v>2728</v>
      </c>
      <c r="B10" s="8" t="n">
        <v>2</v>
      </c>
      <c r="C10" s="8" t="n">
        <v>0</v>
      </c>
      <c r="D10" s="8" t="s">
        <v>2729</v>
      </c>
      <c r="E10" s="8" t="s">
        <v>138</v>
      </c>
      <c r="F10" s="8" t="s">
        <v>2730</v>
      </c>
    </row>
    <row r="11" customFormat="false" ht="15" hidden="false" customHeight="false" outlineLevel="0" collapsed="false">
      <c r="A11" s="8" t="s">
        <v>2731</v>
      </c>
      <c r="B11" s="8" t="n">
        <v>3</v>
      </c>
      <c r="C11" s="8" t="n">
        <v>0</v>
      </c>
      <c r="D11" s="8" t="s">
        <v>2732</v>
      </c>
      <c r="E11" s="8" t="s">
        <v>156</v>
      </c>
      <c r="F11" s="8" t="s">
        <v>2733</v>
      </c>
    </row>
    <row r="12" customFormat="false" ht="15" hidden="false" customHeight="false" outlineLevel="0" collapsed="false">
      <c r="A12" s="8" t="s">
        <v>2734</v>
      </c>
      <c r="B12" s="8" t="n">
        <v>4</v>
      </c>
      <c r="C12" s="8" t="n">
        <v>0</v>
      </c>
      <c r="D12" s="8" t="s">
        <v>2735</v>
      </c>
      <c r="E12" s="8" t="s">
        <v>156</v>
      </c>
      <c r="F12" s="8" t="s">
        <v>2736</v>
      </c>
    </row>
    <row r="13" customFormat="false" ht="15" hidden="false" customHeight="false" outlineLevel="0" collapsed="false">
      <c r="A13" s="8" t="s">
        <v>2737</v>
      </c>
      <c r="B13" s="8" t="n">
        <v>2</v>
      </c>
      <c r="C13" s="8" t="n">
        <v>0</v>
      </c>
      <c r="D13" s="8" t="s">
        <v>2738</v>
      </c>
      <c r="E13" s="8" t="s">
        <v>156</v>
      </c>
      <c r="F13" s="8" t="s">
        <v>2739</v>
      </c>
    </row>
    <row r="15" customFormat="false" ht="15" hidden="false" customHeight="false" outlineLevel="0" collapsed="false">
      <c r="A15" s="5" t="s">
        <v>2740</v>
      </c>
      <c r="B15" s="12" t="n">
        <f aca="false">AVERAGE(B4:B13)</f>
        <v>3.3</v>
      </c>
      <c r="C15" s="12" t="n">
        <f aca="false">AVERAGE(C4:C13)</f>
        <v>0</v>
      </c>
    </row>
    <row r="17" customFormat="false" ht="15" hidden="false" customHeight="false" outlineLevel="0" collapsed="false">
      <c r="A17" s="6" t="s">
        <v>2741</v>
      </c>
    </row>
  </sheetData>
  <autoFilter ref="A3:F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52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2742</v>
      </c>
    </row>
    <row r="2" customFormat="false" ht="15" hidden="false" customHeight="false" outlineLevel="0" collapsed="false">
      <c r="A2" s="6" t="s">
        <v>51</v>
      </c>
    </row>
    <row r="3" customFormat="false" ht="15" hidden="false" customHeight="false" outlineLevel="0" collapsed="false">
      <c r="A3" s="7" t="s">
        <v>421</v>
      </c>
      <c r="B3" s="7" t="s">
        <v>2743</v>
      </c>
      <c r="C3" s="7" t="s">
        <v>2660</v>
      </c>
      <c r="D3" s="7" t="s">
        <v>2744</v>
      </c>
      <c r="E3" s="7" t="s">
        <v>1244</v>
      </c>
      <c r="F3" s="7" t="s">
        <v>2745</v>
      </c>
    </row>
    <row r="4" customFormat="false" ht="15" hidden="false" customHeight="false" outlineLevel="0" collapsed="false">
      <c r="A4" s="8" t="s">
        <v>138</v>
      </c>
      <c r="B4" s="8" t="s">
        <v>2746</v>
      </c>
      <c r="C4" s="8" t="s">
        <v>2747</v>
      </c>
      <c r="D4" s="8" t="s">
        <v>2748</v>
      </c>
      <c r="E4" s="8" t="s">
        <v>133</v>
      </c>
      <c r="F4" s="8" t="s">
        <v>2749</v>
      </c>
    </row>
    <row r="5" customFormat="false" ht="15" hidden="false" customHeight="false" outlineLevel="0" collapsed="false">
      <c r="A5" s="8" t="s">
        <v>138</v>
      </c>
      <c r="B5" s="8" t="s">
        <v>2750</v>
      </c>
      <c r="C5" s="8" t="s">
        <v>2751</v>
      </c>
      <c r="D5" s="8" t="s">
        <v>2752</v>
      </c>
      <c r="E5" s="8" t="s">
        <v>133</v>
      </c>
      <c r="F5" s="8" t="s">
        <v>2749</v>
      </c>
    </row>
    <row r="6" customFormat="false" ht="15" hidden="false" customHeight="false" outlineLevel="0" collapsed="false">
      <c r="A6" s="8" t="s">
        <v>138</v>
      </c>
      <c r="B6" s="8" t="s">
        <v>2753</v>
      </c>
      <c r="C6" s="8" t="s">
        <v>2754</v>
      </c>
      <c r="D6" s="8" t="s">
        <v>386</v>
      </c>
      <c r="E6" s="8" t="s">
        <v>133</v>
      </c>
      <c r="F6" s="8" t="s">
        <v>2749</v>
      </c>
    </row>
    <row r="7" customFormat="false" ht="15" hidden="false" customHeight="false" outlineLevel="0" collapsed="false">
      <c r="A7" s="8" t="s">
        <v>138</v>
      </c>
      <c r="B7" s="8" t="s">
        <v>2755</v>
      </c>
      <c r="C7" s="8" t="s">
        <v>2756</v>
      </c>
      <c r="D7" s="8" t="s">
        <v>2757</v>
      </c>
      <c r="E7" s="8" t="s">
        <v>133</v>
      </c>
      <c r="F7" s="8" t="s">
        <v>2749</v>
      </c>
    </row>
    <row r="8" customFormat="false" ht="15" hidden="false" customHeight="false" outlineLevel="0" collapsed="false">
      <c r="A8" s="8" t="s">
        <v>138</v>
      </c>
      <c r="B8" s="8" t="s">
        <v>2758</v>
      </c>
      <c r="C8" s="8" t="s">
        <v>2759</v>
      </c>
      <c r="D8" s="8" t="s">
        <v>397</v>
      </c>
      <c r="E8" s="8" t="s">
        <v>133</v>
      </c>
      <c r="F8" s="8" t="s">
        <v>2749</v>
      </c>
    </row>
    <row r="9" customFormat="false" ht="15" hidden="false" customHeight="false" outlineLevel="0" collapsed="false">
      <c r="A9" s="8" t="s">
        <v>138</v>
      </c>
      <c r="B9" s="8" t="s">
        <v>2760</v>
      </c>
      <c r="C9" s="8" t="s">
        <v>2761</v>
      </c>
      <c r="D9" s="8" t="s">
        <v>293</v>
      </c>
      <c r="E9" s="8" t="s">
        <v>133</v>
      </c>
      <c r="F9" s="8" t="s">
        <v>2749</v>
      </c>
    </row>
    <row r="10" customFormat="false" ht="15" hidden="false" customHeight="false" outlineLevel="0" collapsed="false">
      <c r="A10" s="8" t="s">
        <v>138</v>
      </c>
      <c r="B10" s="8" t="s">
        <v>2762</v>
      </c>
      <c r="C10" s="8" t="s">
        <v>2763</v>
      </c>
      <c r="D10" s="8" t="s">
        <v>2764</v>
      </c>
      <c r="E10" s="8" t="s">
        <v>133</v>
      </c>
      <c r="F10" s="8" t="s">
        <v>2749</v>
      </c>
    </row>
    <row r="11" customFormat="false" ht="15" hidden="false" customHeight="false" outlineLevel="0" collapsed="false">
      <c r="A11" s="8" t="s">
        <v>132</v>
      </c>
      <c r="B11" s="8" t="s">
        <v>2215</v>
      </c>
      <c r="C11" s="8" t="s">
        <v>2765</v>
      </c>
      <c r="D11" s="8" t="s">
        <v>2766</v>
      </c>
      <c r="E11" s="8" t="s">
        <v>133</v>
      </c>
      <c r="F11" s="8" t="s">
        <v>2749</v>
      </c>
    </row>
    <row r="12" customFormat="false" ht="15" hidden="false" customHeight="false" outlineLevel="0" collapsed="false">
      <c r="A12" s="8" t="s">
        <v>132</v>
      </c>
      <c r="B12" s="8" t="s">
        <v>2767</v>
      </c>
      <c r="C12" s="8" t="s">
        <v>2768</v>
      </c>
      <c r="D12" s="8" t="s">
        <v>2769</v>
      </c>
      <c r="E12" s="8" t="s">
        <v>133</v>
      </c>
      <c r="F12" s="8" t="s">
        <v>2749</v>
      </c>
    </row>
    <row r="13" customFormat="false" ht="15" hidden="false" customHeight="false" outlineLevel="0" collapsed="false">
      <c r="A13" s="8" t="s">
        <v>132</v>
      </c>
      <c r="B13" s="8" t="s">
        <v>2770</v>
      </c>
      <c r="C13" s="8" t="s">
        <v>2771</v>
      </c>
      <c r="D13" s="8" t="s">
        <v>2772</v>
      </c>
      <c r="E13" s="8" t="s">
        <v>157</v>
      </c>
      <c r="F13" s="8" t="s">
        <v>2749</v>
      </c>
    </row>
    <row r="14" customFormat="false" ht="15" hidden="false" customHeight="false" outlineLevel="0" collapsed="false">
      <c r="A14" s="8" t="s">
        <v>132</v>
      </c>
      <c r="B14" s="8" t="s">
        <v>2773</v>
      </c>
      <c r="C14" s="8" t="s">
        <v>2774</v>
      </c>
      <c r="D14" s="8" t="s">
        <v>2752</v>
      </c>
      <c r="E14" s="8" t="s">
        <v>133</v>
      </c>
      <c r="F14" s="8" t="s">
        <v>2749</v>
      </c>
    </row>
    <row r="15" customFormat="false" ht="15" hidden="false" customHeight="false" outlineLevel="0" collapsed="false">
      <c r="A15" s="8" t="s">
        <v>132</v>
      </c>
      <c r="B15" s="8" t="s">
        <v>2775</v>
      </c>
      <c r="C15" s="8" t="s">
        <v>2776</v>
      </c>
      <c r="D15" s="8" t="s">
        <v>2616</v>
      </c>
      <c r="E15" s="8" t="s">
        <v>172</v>
      </c>
      <c r="F15" s="8" t="s">
        <v>2749</v>
      </c>
    </row>
    <row r="16" customFormat="false" ht="15" hidden="false" customHeight="false" outlineLevel="0" collapsed="false">
      <c r="A16" s="8" t="s">
        <v>132</v>
      </c>
      <c r="B16" s="8" t="s">
        <v>2777</v>
      </c>
      <c r="C16" s="8" t="s">
        <v>2778</v>
      </c>
      <c r="D16" s="8" t="s">
        <v>2779</v>
      </c>
      <c r="E16" s="8" t="s">
        <v>2339</v>
      </c>
      <c r="F16" s="8" t="s">
        <v>2749</v>
      </c>
    </row>
    <row r="17" customFormat="false" ht="15" hidden="false" customHeight="false" outlineLevel="0" collapsed="false">
      <c r="A17" s="8" t="s">
        <v>132</v>
      </c>
      <c r="B17" s="8" t="s">
        <v>2780</v>
      </c>
      <c r="C17" s="8" t="s">
        <v>2781</v>
      </c>
      <c r="D17" s="8" t="s">
        <v>157</v>
      </c>
      <c r="E17" s="8" t="s">
        <v>2175</v>
      </c>
      <c r="F17" s="8" t="s">
        <v>2749</v>
      </c>
    </row>
    <row r="18" customFormat="false" ht="15" hidden="false" customHeight="false" outlineLevel="0" collapsed="false">
      <c r="A18" s="8" t="s">
        <v>132</v>
      </c>
      <c r="B18" s="8" t="s">
        <v>2782</v>
      </c>
      <c r="C18" s="8" t="s">
        <v>2783</v>
      </c>
      <c r="D18" s="8" t="s">
        <v>2784</v>
      </c>
      <c r="E18" s="8" t="s">
        <v>2785</v>
      </c>
      <c r="F18" s="8" t="s">
        <v>2786</v>
      </c>
    </row>
    <row r="19" customFormat="false" ht="15" hidden="false" customHeight="false" outlineLevel="0" collapsed="false">
      <c r="A19" s="8" t="s">
        <v>156</v>
      </c>
      <c r="B19" s="8" t="s">
        <v>2787</v>
      </c>
      <c r="C19" s="8" t="s">
        <v>2788</v>
      </c>
      <c r="D19" s="8" t="s">
        <v>2789</v>
      </c>
      <c r="E19" s="8" t="s">
        <v>133</v>
      </c>
      <c r="F19" s="8" t="s">
        <v>2749</v>
      </c>
    </row>
    <row r="20" customFormat="false" ht="15" hidden="false" customHeight="false" outlineLevel="0" collapsed="false">
      <c r="A20" s="8" t="s">
        <v>156</v>
      </c>
      <c r="B20" s="8" t="s">
        <v>2790</v>
      </c>
      <c r="C20" s="8" t="s">
        <v>2791</v>
      </c>
      <c r="D20" s="8" t="s">
        <v>2792</v>
      </c>
      <c r="E20" s="8" t="s">
        <v>133</v>
      </c>
      <c r="F20" s="8" t="s">
        <v>2793</v>
      </c>
    </row>
    <row r="21" customFormat="false" ht="15" hidden="false" customHeight="false" outlineLevel="0" collapsed="false">
      <c r="A21" s="8" t="s">
        <v>156</v>
      </c>
      <c r="B21" s="8" t="s">
        <v>2794</v>
      </c>
      <c r="C21" s="8" t="s">
        <v>2795</v>
      </c>
      <c r="D21" s="8" t="s">
        <v>2796</v>
      </c>
      <c r="E21" s="8" t="s">
        <v>2344</v>
      </c>
      <c r="F21" s="8" t="s">
        <v>2793</v>
      </c>
    </row>
    <row r="22" customFormat="false" ht="15" hidden="false" customHeight="false" outlineLevel="0" collapsed="false">
      <c r="A22" s="8" t="s">
        <v>156</v>
      </c>
      <c r="B22" s="8" t="s">
        <v>2797</v>
      </c>
      <c r="C22" s="8" t="s">
        <v>2798</v>
      </c>
      <c r="D22" s="8" t="s">
        <v>2799</v>
      </c>
      <c r="E22" s="8" t="s">
        <v>2339</v>
      </c>
      <c r="F22" s="8" t="s">
        <v>2749</v>
      </c>
    </row>
    <row r="23" customFormat="false" ht="15" hidden="false" customHeight="false" outlineLevel="0" collapsed="false">
      <c r="A23" s="8" t="s">
        <v>156</v>
      </c>
      <c r="B23" s="8" t="s">
        <v>2800</v>
      </c>
      <c r="C23" s="8" t="s">
        <v>543</v>
      </c>
      <c r="D23" s="8" t="s">
        <v>224</v>
      </c>
      <c r="E23" s="8" t="s">
        <v>224</v>
      </c>
      <c r="F23" s="8" t="s">
        <v>2793</v>
      </c>
    </row>
    <row r="24" customFormat="false" ht="15" hidden="false" customHeight="false" outlineLevel="0" collapsed="false">
      <c r="A24" s="8" t="s">
        <v>204</v>
      </c>
      <c r="B24" s="8" t="s">
        <v>2801</v>
      </c>
      <c r="C24" s="8" t="s">
        <v>2802</v>
      </c>
      <c r="D24" s="8" t="s">
        <v>2803</v>
      </c>
      <c r="E24" s="8" t="s">
        <v>2175</v>
      </c>
      <c r="F24" s="8" t="s">
        <v>2793</v>
      </c>
    </row>
    <row r="25" customFormat="false" ht="15" hidden="false" customHeight="false" outlineLevel="0" collapsed="false">
      <c r="A25" s="8" t="s">
        <v>204</v>
      </c>
      <c r="B25" s="8" t="s">
        <v>2804</v>
      </c>
      <c r="C25" s="8" t="s">
        <v>2805</v>
      </c>
      <c r="D25" s="8" t="s">
        <v>2806</v>
      </c>
      <c r="E25" s="8" t="s">
        <v>2175</v>
      </c>
      <c r="F25" s="8" t="s">
        <v>2793</v>
      </c>
    </row>
  </sheetData>
  <autoFilter ref="A3:F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2026-10-08T07:29:05Z</dcterms:created>
  <dc:creator>openpyxl</dc:creator>
  <dc:description/>
  <dc:language>en-US</dc:language>
  <cp:lastModifiedBy/>
  <dcterms:modified xsi:type="dcterms:W3CDTF">2026-10-08T07:29:06Z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