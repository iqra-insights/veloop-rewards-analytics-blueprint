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2 Profile Summary (J1)" sheetId="1" state="visible" r:id="rId3"/>
    <sheet name="13 Column Profile" sheetId="2" state="visible" r:id="rId4"/>
    <sheet name="14 Relationships (J2)" sheetId="3" state="visible" r:id="rId5"/>
    <sheet name="15 KPI Test (J3)" sheetId="4" state="visible" r:id="rId6"/>
  </sheets>
  <definedNames>
    <definedName function="false" hidden="true" localSheetId="0" name="_xlnm._FilterDatabase" vbProcedure="false">'12 Profile Summary (J1)'!$A$3:$K$12</definedName>
    <definedName function="false" hidden="true" localSheetId="1" name="_xlnm._FilterDatabase" vbProcedure="false">'13 Column Profile'!$A$3:$I$58</definedName>
    <definedName function="false" hidden="true" localSheetId="2" name="_xlnm._FilterDatabase" vbProcedure="false">'14 Relationships (J2)'!$A$3:$D$20</definedName>
    <definedName function="false" hidden="true" localSheetId="3" name="_xlnm._FilterDatabase" vbProcedure="false">'15 KPI Test (J3)'!$A$3:$D$20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<sst xmlns="http://schemas.openxmlformats.org/spreadsheetml/2006/main" count="498" uniqueCount="271">
  <si>
    <t xml:space="preserve">J1 - Dataset Profiling (T01 = Task 01 file; SUP = supplementary file; both SIMULATED)</t>
  </si>
  <si>
    <t xml:space="preserve">SIMULATED DATA - NOT ACTUAL VELOOP DATA. Status legend: Confirmed / Proposed / To Be Verified. No proposed item is claimed to exist in production.</t>
  </si>
  <si>
    <t xml:space="preserve">Dataset</t>
  </si>
  <si>
    <t xml:space="preserve">Records</t>
  </si>
  <si>
    <t xml:space="preserve">Columns</t>
  </si>
  <si>
    <t xml:space="preserve">Date Range</t>
  </si>
  <si>
    <t xml:space="preserve">ID Field</t>
  </si>
  <si>
    <t xml:space="preserve">Unique IDs</t>
  </si>
  <si>
    <t xml:space="preserve">Duplicate IDs</t>
  </si>
  <si>
    <t xml:space="preserve">Fully Duplicate Rows</t>
  </si>
  <si>
    <t xml:space="preserve">Missing Cells</t>
  </si>
  <si>
    <t xml:space="preserve">Columns With Missing</t>
  </si>
  <si>
    <t xml:space="preserve">Notes</t>
  </si>
  <si>
    <t xml:space="preserve">T01 Users_1000_Clean</t>
  </si>
  <si>
    <t xml:space="preserve">2026-04-01 02:10:00 to 2026-09-15 19:47:00</t>
  </si>
  <si>
    <t xml:space="preserve">user_id</t>
  </si>
  <si>
    <t xml:space="preserve">Nulls: referral_source_detail 881 (expected conditional), last_login_datetime 72</t>
  </si>
  <si>
    <t xml:space="preserve">T01 Users_Messy_Audit</t>
  </si>
  <si>
    <t xml:space="preserve">Contains 8 duplicate rows, 9 rows with single missing values, 1 malformed date</t>
  </si>
  <si>
    <t xml:space="preserve">SUP Users_1000</t>
  </si>
  <si>
    <t xml:space="preserve">2026-04-01 02:00:41 to 2026-09-15 20:26:50</t>
  </si>
  <si>
    <t xml:space="preserve">Different people from T01 for the same IDs (DQ-014)</t>
  </si>
  <si>
    <t xml:space="preserve">SUP Sessions</t>
  </si>
  <si>
    <t xml:space="preserve">2026-04-02 20:14:28 to 2026-09-15 22:13:22</t>
  </si>
  <si>
    <t xml:space="preserve">session_id</t>
  </si>
  <si>
    <t xml:space="preserve">SUP Feature Events</t>
  </si>
  <si>
    <t xml:space="preserve">2026-04-02 20:14:31 to 2026-09-15 22:13:50</t>
  </si>
  <si>
    <t xml:space="preserve">event_id</t>
  </si>
  <si>
    <t xml:space="preserve">SUP Daily Activity</t>
  </si>
  <si>
    <t xml:space="preserve">2026-04-02 00:00:00 to 2026-09-15 00:00:00</t>
  </si>
  <si>
    <t xml:space="preserve">user_id + activity_date</t>
  </si>
  <si>
    <t xml:space="preserve">Key is (user_id, activity_date); 0 duplicates on that pair</t>
  </si>
  <si>
    <t xml:space="preserve">SUP Task Activity</t>
  </si>
  <si>
    <t xml:space="preserve">2026-04-02 20:14:41 to 2026-09-15 21:51:41</t>
  </si>
  <si>
    <t xml:space="preserve">activity_id</t>
  </si>
  <si>
    <t xml:space="preserve">Nulls are structural (completion time, failure reason)</t>
  </si>
  <si>
    <t xml:space="preserve">SUP Milestones</t>
  </si>
  <si>
    <t xml:space="preserve">2026-04-02 08:18:00 to 2026-09-15 22:13:28</t>
  </si>
  <si>
    <t xml:space="preserve">n/a (many per user by design)</t>
  </si>
  <si>
    <t xml:space="preserve">n/a</t>
  </si>
  <si>
    <t xml:space="preserve">Not unique by user (several milestones each)</t>
  </si>
  <si>
    <t xml:space="preserve">SUP Event audit sheet</t>
  </si>
  <si>
    <t xml:space="preserve">10 duplicate event_ids; case/space issues (DQ-022..024)</t>
  </si>
  <si>
    <t xml:space="preserve">Missing-cell share (formula)</t>
  </si>
  <si>
    <t xml:space="preserve">Status / category distributions - T01 Users_1000_Clean (counts; share = formula)</t>
  </si>
  <si>
    <t xml:space="preserve">Field</t>
  </si>
  <si>
    <t xml:space="preserve">Value</t>
  </si>
  <si>
    <t xml:space="preserve">Count</t>
  </si>
  <si>
    <t xml:space="preserve">Share</t>
  </si>
  <si>
    <t xml:space="preserve">account_status</t>
  </si>
  <si>
    <t xml:space="preserve">Active</t>
  </si>
  <si>
    <t xml:space="preserve">Inactive</t>
  </si>
  <si>
    <t xml:space="preserve">Suspended</t>
  </si>
  <si>
    <t xml:space="preserve">Pending Verification</t>
  </si>
  <si>
    <t xml:space="preserve">email_verification_status</t>
  </si>
  <si>
    <t xml:space="preserve">Verified</t>
  </si>
  <si>
    <t xml:space="preserve">Pending</t>
  </si>
  <si>
    <t xml:space="preserve">onboarding_status</t>
  </si>
  <si>
    <t xml:space="preserve">Completed</t>
  </si>
  <si>
    <t xml:space="preserve">Started</t>
  </si>
  <si>
    <t xml:space="preserve">Not Started</t>
  </si>
  <si>
    <t xml:space="preserve">acquisition_source</t>
  </si>
  <si>
    <t xml:space="preserve">Organic Search</t>
  </si>
  <si>
    <t xml:space="preserve">Direct</t>
  </si>
  <si>
    <t xml:space="preserve">Social Media</t>
  </si>
  <si>
    <t xml:space="preserve">Referral</t>
  </si>
  <si>
    <t xml:space="preserve">WhatsApp</t>
  </si>
  <si>
    <t xml:space="preserve">Other</t>
  </si>
  <si>
    <t xml:space="preserve">Telegram</t>
  </si>
  <si>
    <t xml:space="preserve">primary_device</t>
  </si>
  <si>
    <t xml:space="preserve">Android</t>
  </si>
  <si>
    <t xml:space="preserve">Windows</t>
  </si>
  <si>
    <t xml:space="preserve">iOS</t>
  </si>
  <si>
    <t xml:space="preserve">macOS</t>
  </si>
  <si>
    <t xml:space="preserve">gender</t>
  </si>
  <si>
    <t xml:space="preserve">Male</t>
  </si>
  <si>
    <t xml:space="preserve">Female</t>
  </si>
  <si>
    <t xml:space="preserve">Prefer not to say</t>
  </si>
  <si>
    <t xml:space="preserve">consent_status</t>
  </si>
  <si>
    <t xml:space="preserve">Accepted</t>
  </si>
  <si>
    <t xml:space="preserve">marketing_opt_in</t>
  </si>
  <si>
    <t xml:space="preserve">No</t>
  </si>
  <si>
    <t xml:space="preserve">Yes</t>
  </si>
  <si>
    <t xml:space="preserve">account_created_via</t>
  </si>
  <si>
    <t xml:space="preserve">Web Registration</t>
  </si>
  <si>
    <t xml:space="preserve">Google Sign-In</t>
  </si>
  <si>
    <t xml:space="preserve">is_active_7d</t>
  </si>
  <si>
    <t xml:space="preserve">is_active_30d</t>
  </si>
  <si>
    <t xml:space="preserve">J1 - Column-level profile (Users clean and audit)</t>
  </si>
  <si>
    <t xml:space="preserve">Column</t>
  </si>
  <si>
    <t xml:space="preserve">Stored Type</t>
  </si>
  <si>
    <t xml:space="preserve">Non-null</t>
  </si>
  <si>
    <t xml:space="preserve">Null</t>
  </si>
  <si>
    <t xml:space="preserve">Unique</t>
  </si>
  <si>
    <t xml:space="preserve">Min</t>
  </si>
  <si>
    <t xml:space="preserve">Max</t>
  </si>
  <si>
    <t xml:space="preserve">Top values (categorical)</t>
  </si>
  <si>
    <t xml:space="preserve">str</t>
  </si>
  <si>
    <t xml:space="preserve">full_name</t>
  </si>
  <si>
    <t xml:space="preserve">email</t>
  </si>
  <si>
    <t xml:space="preserve">age</t>
  </si>
  <si>
    <t xml:space="preserve">int64</t>
  </si>
  <si>
    <t xml:space="preserve">18</t>
  </si>
  <si>
    <t xml:space="preserve">38</t>
  </si>
  <si>
    <t xml:space="preserve">32: 64; 22: 60; 23: 57; 20: 56</t>
  </si>
  <si>
    <t xml:space="preserve">Male: 343; Female: 331; Prefer not to say: 326</t>
  </si>
  <si>
    <t xml:space="preserve">state</t>
  </si>
  <si>
    <t xml:space="preserve">Kerala: 129; Uttar Pradesh: 122; Bihar: 92; Odisha: 83</t>
  </si>
  <si>
    <t xml:space="preserve">city</t>
  </si>
  <si>
    <t xml:space="preserve">Kochi: 129; Bhubaneswar: 83; Hyderabad: 63; Gaya: 49</t>
  </si>
  <si>
    <t xml:space="preserve">registration_datetime</t>
  </si>
  <si>
    <t xml:space="preserve">datetime64[us]</t>
  </si>
  <si>
    <t xml:space="preserve">2026-04-01 02:10:00</t>
  </si>
  <si>
    <t xml:space="preserve">2026-09-15 19:47:00</t>
  </si>
  <si>
    <t xml:space="preserve">Organic Search: 244; Direct: 217; Social Media: 160; Referral: 119</t>
  </si>
  <si>
    <t xml:space="preserve">referral_source_detail</t>
  </si>
  <si>
    <t xml:space="preserve">Friend/Family: 119</t>
  </si>
  <si>
    <t xml:space="preserve">Android: 659; Windows: 155; iOS: 140; macOS: 46</t>
  </si>
  <si>
    <t xml:space="preserve">platform</t>
  </si>
  <si>
    <t xml:space="preserve">Web: 1000</t>
  </si>
  <si>
    <t xml:space="preserve">Active: 568; Inactive: 283; Suspended: 77; Pending Verification: 72</t>
  </si>
  <si>
    <t xml:space="preserve">Verified: 855; Pending: 145</t>
  </si>
  <si>
    <t xml:space="preserve">Completed: 722; Started: 146; Not Started: 132</t>
  </si>
  <si>
    <t xml:space="preserve">last_login_datetime</t>
  </si>
  <si>
    <t xml:space="preserve">2026-04-15 02:51:00</t>
  </si>
  <si>
    <t xml:space="preserve">2026-09-17 10:08:00</t>
  </si>
  <si>
    <t xml:space="preserve">lifetime_sessions</t>
  </si>
  <si>
    <t xml:space="preserve">0</t>
  </si>
  <si>
    <t xml:space="preserve">81</t>
  </si>
  <si>
    <t xml:space="preserve">active_days</t>
  </si>
  <si>
    <t xml:space="preserve">32</t>
  </si>
  <si>
    <t xml:space="preserve">0: 121; 6: 74; 4: 68; 7: 67</t>
  </si>
  <si>
    <t xml:space="preserve">xp_balance</t>
  </si>
  <si>
    <t xml:space="preserve">5</t>
  </si>
  <si>
    <t xml:space="preserve">1156</t>
  </si>
  <si>
    <t xml:space="preserve">referral_code</t>
  </si>
  <si>
    <t xml:space="preserve">days_since_registration</t>
  </si>
  <si>
    <t xml:space="preserve">float64</t>
  </si>
  <si>
    <t xml:space="preserve">-0.8</t>
  </si>
  <si>
    <t xml:space="preserve">166.9</t>
  </si>
  <si>
    <t xml:space="preserve">No: 922; Yes: 78</t>
  </si>
  <si>
    <t xml:space="preserve">No: 675; Yes: 325</t>
  </si>
  <si>
    <t xml:space="preserve">Accepted: 923; Pending: 77</t>
  </si>
  <si>
    <t xml:space="preserve">No: 558; Yes: 442</t>
  </si>
  <si>
    <t xml:space="preserve">Web Registration: 661; Google Sign-In: 339</t>
  </si>
  <si>
    <t xml:space="preserve">country</t>
  </si>
  <si>
    <t xml:space="preserve">India: 1000</t>
  </si>
  <si>
    <t xml:space="preserve">18.0</t>
  </si>
  <si>
    <t xml:space="preserve">38.0</t>
  </si>
  <si>
    <t xml:space="preserve">32: 65; 22: 60; 23: 57; 20: 56</t>
  </si>
  <si>
    <t xml:space="preserve">Male: 345; Female: 332; Prefer not to say: 330</t>
  </si>
  <si>
    <t xml:space="preserve">Kerala: 129; Uttar Pradesh: 124; Bihar: 93; Odisha: 83</t>
  </si>
  <si>
    <t xml:space="preserve">Kochi: 129; Bhubaneswar: 82; Hyderabad: 63; Gaya: 49</t>
  </si>
  <si>
    <t xml:space="preserve">Organic Search: 245; Direct: 216; Social Media: 160; Referral: 123</t>
  </si>
  <si>
    <t xml:space="preserve">Friend/Family: 123</t>
  </si>
  <si>
    <t xml:space="preserve">Android: 662; Windows: 158; iOS: 141; macOS: 46</t>
  </si>
  <si>
    <t xml:space="preserve">Web: 1008</t>
  </si>
  <si>
    <t xml:space="preserve">Active: 571; Inactive: 288; Suspended: 77; Pending Verification: 72</t>
  </si>
  <si>
    <t xml:space="preserve">Verified: 862; Pending: 145</t>
  </si>
  <si>
    <t xml:space="preserve">Completed: 728; Started: 146; Not Started: 133</t>
  </si>
  <si>
    <t xml:space="preserve">0: 122; 6: 75; 7: 68; 4: 68</t>
  </si>
  <si>
    <t xml:space="preserve">No: 930; Yes: 78</t>
  </si>
  <si>
    <t xml:space="preserve">No: 680; Yes: 328</t>
  </si>
  <si>
    <t xml:space="preserve">Accepted: 930; Pending: 78</t>
  </si>
  <si>
    <t xml:space="preserve">No: 563; Yes: 445</t>
  </si>
  <si>
    <t xml:space="preserve">Web Registration: 666; Google Sign-In: 342</t>
  </si>
  <si>
    <t xml:space="preserve">India: 1008</t>
  </si>
  <si>
    <t xml:space="preserve">data_environment</t>
  </si>
  <si>
    <t xml:space="preserve">SIMULATED — NOT ACTUAL VELOOP DATA: 1008</t>
  </si>
  <si>
    <t xml:space="preserve">J2 - Relationship tests</t>
  </si>
  <si>
    <t xml:space="preserve">Test</t>
  </si>
  <si>
    <t xml:space="preserve">Result</t>
  </si>
  <si>
    <t xml:space="preserve">Evidence</t>
  </si>
  <si>
    <t xml:space="preserve">Note</t>
  </si>
  <si>
    <t xml:space="preserve">T01 Users.user_id unique and non-null</t>
  </si>
  <si>
    <t xml:space="preserve">Pass</t>
  </si>
  <si>
    <t xml:space="preserve">1,000 unique of 1,000 rows; 0 nulls</t>
  </si>
  <si>
    <t xml:space="preserve">Users_1000_Clean</t>
  </si>
  <si>
    <t xml:space="preserve">T01 Users.email unique</t>
  </si>
  <si>
    <t xml:space="preserve">1,000 unique</t>
  </si>
  <si>
    <t xml:space="preserve">T01 Users.referral_code unique</t>
  </si>
  <si>
    <t xml:space="preserve">1,000 unique; format VL+6 digits for all</t>
  </si>
  <si>
    <t xml:space="preserve">T01 Users.user_id -&gt; Task Activity.user_id</t>
  </si>
  <si>
    <t xml:space="preserve">Not testable</t>
  </si>
  <si>
    <t xml:space="preserve">Task Activity sheet not supplied in Task 01 file (S005, A003)</t>
  </si>
  <si>
    <t xml:space="preserve">-</t>
  </si>
  <si>
    <t xml:space="preserve">T01 Users.user_id -&gt; Rewards.user_id</t>
  </si>
  <si>
    <t xml:space="preserve">Rewards sheet not supplied</t>
  </si>
  <si>
    <t xml:space="preserve">T01 Users.user_id -&gt; Wallet.user_id</t>
  </si>
  <si>
    <t xml:space="preserve">Wallet sheet not supplied</t>
  </si>
  <si>
    <t xml:space="preserve">T01 Users.user_id -&gt; Withdrawals.user_id</t>
  </si>
  <si>
    <t xml:space="preserve">Withdrawals sheet not supplied</t>
  </si>
  <si>
    <t xml:space="preserve">T01 Users.user_id -&gt; Referrals</t>
  </si>
  <si>
    <t xml:space="preserve">Referrals sheet not supplied; Users holds only a code and "Friend/Family" label (DQ-021)</t>
  </si>
  <si>
    <t xml:space="preserve">T01 Users_Messy_Audit.user_id -&gt; Users_1000_Clean.user_id</t>
  </si>
  <si>
    <t xml:space="preserve">All 1,000 audit IDs exist in clean; 0 audit IDs missing from clean; 8 repeated rows</t>
  </si>
  <si>
    <t xml:space="preserve">SUP Users -&gt; Sessions.user_id</t>
  </si>
  <si>
    <t xml:space="preserve">0 orphan sessions of 7,913</t>
  </si>
  <si>
    <t xml:space="preserve">SUP Users -&gt; Feature Events.user_id</t>
  </si>
  <si>
    <t xml:space="preserve">0 orphan events of 35,704</t>
  </si>
  <si>
    <t xml:space="preserve">SUP Users -&gt; Task Activity.user_id</t>
  </si>
  <si>
    <t xml:space="preserve">0 orphan attempts of 9,846</t>
  </si>
  <si>
    <t xml:space="preserve">SUP Users -&gt; Daily Activity.user_id</t>
  </si>
  <si>
    <t xml:space="preserve">0 orphan rows</t>
  </si>
  <si>
    <t xml:space="preserve">SUP Users -&gt; Milestones.user_id</t>
  </si>
  <si>
    <t xml:space="preserve">SUP Sessions.session_id -&gt; Events / Tasks</t>
  </si>
  <si>
    <t xml:space="preserve">0 orphan session references</t>
  </si>
  <si>
    <t xml:space="preserve">SUP Users without any session or task</t>
  </si>
  <si>
    <t xml:space="preserve">Observation</t>
  </si>
  <si>
    <t xml:space="preserve">16 of 1,000 users have no sessions and no tasks</t>
  </si>
  <si>
    <t xml:space="preserve">T01 Users vs SUP Users on user_id</t>
  </si>
  <si>
    <t xml:space="preserve">FAIL - do not join</t>
  </si>
  <si>
    <t xml:space="preserve">1000 IDs overlap but 0 emails, 0 names, 0 registration times and 0 referral codes match; 429 statuses match (chance level). The files describe different people (DQ-014)</t>
  </si>
  <si>
    <t xml:space="preserve">J3 - Can the KPIs actually be calculated from the supplied structure? (all results SIMULATED)</t>
  </si>
  <si>
    <t xml:space="preserve">KPI</t>
  </si>
  <si>
    <t xml:space="preserve">Calculable?</t>
  </si>
  <si>
    <t xml:space="preserve">Result or Reason (simulated wording)</t>
  </si>
  <si>
    <t xml:space="preserve">Additional Data Required</t>
  </si>
  <si>
    <t xml:space="preserve">K-U01 New registrations</t>
  </si>
  <si>
    <t xml:space="preserve">In the simulated dataset (T01 clean), 1,000 users registered between 01 Apr and 15 Sep 2026; by month: 2026-04: 174, 2026-05: 179, 2026-06: 166, 2026-07: 198, 2026-08: 192, 2026-09: 91</t>
  </si>
  <si>
    <t xml:space="preserve">K-U02 Registrations by source</t>
  </si>
  <si>
    <t xml:space="preserve">In the simulated dataset (T01), source shares: Organic Search 24.4%, Direct 21.7%, Social Media 16.0%, Referral 11.9%, WhatsApp 10.3%, Other 10.2%, Telegram 5.5%</t>
  </si>
  <si>
    <t xml:space="preserve">Source taxonomy to be agreed</t>
  </si>
  <si>
    <t xml:space="preserve">K-U05 Email verification rate</t>
  </si>
  <si>
    <t xml:space="preserve">In the simulated dataset (T01), 855 of 1,000 (85.5%) have Verified status</t>
  </si>
  <si>
    <t xml:space="preserve">Verification timestamp</t>
  </si>
  <si>
    <t xml:space="preserve">K-U07 Onboarding completion rate</t>
  </si>
  <si>
    <t xml:space="preserve">In the simulated dataset (T01), 722 of 1,000 (72.2%) Completed</t>
  </si>
  <si>
    <t xml:space="preserve">Step-level milestones</t>
  </si>
  <si>
    <t xml:space="preserve">K-U08 Suspended account share</t>
  </si>
  <si>
    <t xml:space="preserve">In the simulated dataset (T01), 77 of 1,000 (7.7%) Suspended</t>
  </si>
  <si>
    <t xml:space="preserve">Status history with timestamps</t>
  </si>
  <si>
    <t xml:space="preserve">K-U10 Registrations by device</t>
  </si>
  <si>
    <t xml:space="preserve">In the simulated dataset (T01), Android 65.9%, Windows 15.5%, iOS 14.0%, macOS 4.6%; platform = Web for all</t>
  </si>
  <si>
    <t xml:space="preserve">More than one platform value</t>
  </si>
  <si>
    <t xml:space="preserve">K-U11 Consent acceptance rate</t>
  </si>
  <si>
    <t xml:space="preserve">In the simulated dataset (T01), 923 of 1,000 (92.3%) Accepted</t>
  </si>
  <si>
    <t xml:space="preserve">Consent timestamp</t>
  </si>
  <si>
    <t xml:space="preserve">K-U03/K-U12 Active users (supplied flags)</t>
  </si>
  <si>
    <t xml:space="preserve">Partly</t>
  </si>
  <si>
    <t xml:space="preserve">In the simulated dataset (T01), supplied flags give 78 (7.8%) active 7d and 325 (32.5%) active 30d. Flags are NOT reproducible for 8 and 9 users (DQ-012); an event stream is required to define DAU properly</t>
  </si>
  <si>
    <t xml:space="preserve">Event stream and a documented activity rule</t>
  </si>
  <si>
    <t xml:space="preserve">K-U03 DAU (event stream)</t>
  </si>
  <si>
    <t xml:space="preserve">Yes - SUP only</t>
  </si>
  <si>
    <t xml:space="preserve">In the supplementary simulated events, average distinct users per calendar day = 40.7 (min 1, max 164), counting any event as qualifying (A017 not resolved)</t>
  </si>
  <si>
    <t xml:space="preserve">Qualifying-event list</t>
  </si>
  <si>
    <t xml:space="preserve">K-E01/K-E03 Task starts and completion rate</t>
  </si>
  <si>
    <t xml:space="preserve">In the supplementary simulated data, 9,846 attempts; 5,627 Completed (57.2% of all, 61.2% excluding 648 Pending)</t>
  </si>
  <si>
    <t xml:space="preserve">Verified task_started/task_completed events</t>
  </si>
  <si>
    <t xml:space="preserve">K-E05 Failure and abandonment rate</t>
  </si>
  <si>
    <t xml:space="preserve">In the supplementary simulated data, 3,571 of 9,198 non-pending attempts Failed or Abandoned (38.8%)</t>
  </si>
  <si>
    <t xml:space="preserve">Approved failure categories</t>
  </si>
  <si>
    <t xml:space="preserve">K-R05 Credit reconciliation</t>
  </si>
  <si>
    <t xml:space="preserve">Partly - SUP only</t>
  </si>
  <si>
    <t xml:space="preserve">In the supplementary simulated data every Completed attempt (5,627) has reward_status Credited and no non-completed attempt is Credited. This does NOT prove wallet credits exist</t>
  </si>
  <si>
    <t xml:space="preserve">Rewards and Wallet tables</t>
  </si>
  <si>
    <t xml:space="preserve">K-F01 Referrals created</t>
  </si>
  <si>
    <t xml:space="preserve">Supplementary events include 871 referral_created events but no referrer/referred link; conversion KPIs K-F02..F05 cannot be computed</t>
  </si>
  <si>
    <t xml:space="preserve">Referrals table (DQ-021)</t>
  </si>
  <si>
    <t xml:space="preserve">K-W01..W05 Wallet KPIs</t>
  </si>
  <si>
    <t xml:space="preserve">Only wallet_viewed events exist in supplementary data (2,172); no ledger</t>
  </si>
  <si>
    <t xml:space="preserve">Wallet Transactions</t>
  </si>
  <si>
    <t xml:space="preserve">K-D01..D09 Withdrawal KPIs</t>
  </si>
  <si>
    <t xml:space="preserve">No withdrawal data in either file</t>
  </si>
  <si>
    <t xml:space="preserve">Withdrawals table with lifecycle timestamps</t>
  </si>
  <si>
    <t xml:space="preserve">K-R01..R04 Reward KPIs</t>
  </si>
  <si>
    <t xml:space="preserve">No reward-level table in either file</t>
  </si>
  <si>
    <t xml:space="preserve">Rewards table</t>
  </si>
  <si>
    <t xml:space="preserve">K-S01..S03 Support KPIs</t>
  </si>
  <si>
    <t xml:space="preserve">No support data</t>
  </si>
  <si>
    <t xml:space="preserve">Support source (A023)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</si>
</sst>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7F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"/>
    <col collapsed="false" customWidth="true" hidden="false" outlineLevel="0" max="3" min="3" style="1" width="9"/>
    <col collapsed="false" customWidth="true" hidden="false" outlineLevel="0" max="4" min="4" style="1" width="40"/>
    <col collapsed="false" customWidth="true" hidden="false" outlineLevel="0" max="5" min="5" style="1" width="14"/>
    <col collapsed="false" customWidth="true" hidden="false" outlineLevel="0" max="7" min="6" style="1" width="10"/>
    <col collapsed="false" customWidth="true" hidden="false" outlineLevel="0" max="8" min="8" style="1" width="12"/>
    <col collapsed="false" customWidth="true" hidden="false" outlineLevel="0" max="10" min="9" style="1" width="10"/>
    <col collapsed="false" customWidth="true" hidden="false" outlineLevel="0" max="11" min="11" style="1" width="6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45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</row>
    <row r="4" customFormat="false" ht="23.25" hidden="false" customHeight="true" outlineLevel="0" collapsed="false">
      <c r="A4" s="5" t="s">
        <v>13</v>
      </c>
      <c r="B4" s="5" t="n">
        <v>1000</v>
      </c>
      <c r="C4" s="5" t="n">
        <v>27</v>
      </c>
      <c r="D4" s="5" t="s">
        <v>14</v>
      </c>
      <c r="E4" s="5" t="s">
        <v>15</v>
      </c>
      <c r="F4" s="5" t="n">
        <v>1000</v>
      </c>
      <c r="G4" s="5" t="n">
        <v>0</v>
      </c>
      <c r="H4" s="5" t="n">
        <v>0</v>
      </c>
      <c r="I4" s="5" t="n">
        <v>953</v>
      </c>
      <c r="J4" s="5" t="n">
        <v>2</v>
      </c>
      <c r="K4" s="5" t="s">
        <v>16</v>
      </c>
    </row>
    <row r="5" customFormat="false" ht="23.25" hidden="false" customHeight="true" outlineLevel="0" collapsed="false">
      <c r="A5" s="5" t="s">
        <v>17</v>
      </c>
      <c r="B5" s="5" t="n">
        <v>1008</v>
      </c>
      <c r="C5" s="5" t="n">
        <v>28</v>
      </c>
      <c r="D5" s="5" t="s">
        <v>14</v>
      </c>
      <c r="E5" s="5" t="s">
        <v>15</v>
      </c>
      <c r="F5" s="5" t="n">
        <v>1000</v>
      </c>
      <c r="G5" s="5" t="n">
        <v>8</v>
      </c>
      <c r="H5" s="5" t="n">
        <v>8</v>
      </c>
      <c r="I5" s="5" t="n">
        <v>966</v>
      </c>
      <c r="J5" s="5" t="n">
        <v>10</v>
      </c>
      <c r="K5" s="5" t="s">
        <v>18</v>
      </c>
    </row>
    <row r="6" customFormat="false" ht="15" hidden="false" customHeight="true" outlineLevel="0" collapsed="false">
      <c r="A6" s="5" t="s">
        <v>19</v>
      </c>
      <c r="B6" s="5" t="n">
        <v>1000</v>
      </c>
      <c r="C6" s="5" t="n">
        <v>16</v>
      </c>
      <c r="D6" s="5" t="s">
        <v>20</v>
      </c>
      <c r="E6" s="5" t="s">
        <v>15</v>
      </c>
      <c r="F6" s="5" t="n">
        <v>1000</v>
      </c>
      <c r="G6" s="5" t="n">
        <v>0</v>
      </c>
      <c r="H6" s="5" t="n">
        <v>0</v>
      </c>
      <c r="I6" s="5" t="n">
        <v>846</v>
      </c>
      <c r="J6" s="5" t="n">
        <v>1</v>
      </c>
      <c r="K6" s="5" t="s">
        <v>21</v>
      </c>
    </row>
    <row r="7" customFormat="false" ht="15" hidden="false" customHeight="true" outlineLevel="0" collapsed="false">
      <c r="A7" s="5" t="s">
        <v>22</v>
      </c>
      <c r="B7" s="5" t="n">
        <v>7913</v>
      </c>
      <c r="C7" s="5" t="n">
        <v>12</v>
      </c>
      <c r="D7" s="5" t="s">
        <v>23</v>
      </c>
      <c r="E7" s="5" t="s">
        <v>24</v>
      </c>
      <c r="F7" s="5" t="n">
        <v>7913</v>
      </c>
      <c r="G7" s="5" t="n">
        <v>0</v>
      </c>
      <c r="H7" s="5" t="n">
        <v>0</v>
      </c>
      <c r="I7" s="5" t="n">
        <v>466</v>
      </c>
      <c r="J7" s="5" t="n">
        <v>1</v>
      </c>
      <c r="K7" s="5"/>
    </row>
    <row r="8" customFormat="false" ht="15" hidden="false" customHeight="true" outlineLevel="0" collapsed="false">
      <c r="A8" s="5" t="s">
        <v>25</v>
      </c>
      <c r="B8" s="5" t="n">
        <v>35704</v>
      </c>
      <c r="C8" s="5" t="n">
        <v>13</v>
      </c>
      <c r="D8" s="5" t="s">
        <v>26</v>
      </c>
      <c r="E8" s="5" t="s">
        <v>27</v>
      </c>
      <c r="F8" s="5" t="n">
        <v>35704</v>
      </c>
      <c r="G8" s="5" t="n">
        <v>0</v>
      </c>
      <c r="H8" s="5" t="n">
        <v>0</v>
      </c>
      <c r="I8" s="5" t="n">
        <v>0</v>
      </c>
      <c r="J8" s="5" t="n">
        <v>0</v>
      </c>
      <c r="K8" s="5"/>
    </row>
    <row r="9" customFormat="false" ht="23.25" hidden="false" customHeight="true" outlineLevel="0" collapsed="false">
      <c r="A9" s="5" t="s">
        <v>28</v>
      </c>
      <c r="B9" s="5" t="n">
        <v>6667</v>
      </c>
      <c r="C9" s="5" t="n">
        <v>17</v>
      </c>
      <c r="D9" s="5" t="s">
        <v>29</v>
      </c>
      <c r="E9" s="5" t="s">
        <v>30</v>
      </c>
      <c r="F9" s="5" t="n">
        <v>6667</v>
      </c>
      <c r="G9" s="5" t="n">
        <v>0</v>
      </c>
      <c r="H9" s="5" t="n">
        <v>0</v>
      </c>
      <c r="I9" s="5" t="n">
        <v>0</v>
      </c>
      <c r="J9" s="5" t="n">
        <v>0</v>
      </c>
      <c r="K9" s="5" t="s">
        <v>31</v>
      </c>
    </row>
    <row r="10" customFormat="false" ht="15" hidden="false" customHeight="true" outlineLevel="0" collapsed="false">
      <c r="A10" s="5" t="s">
        <v>32</v>
      </c>
      <c r="B10" s="5" t="n">
        <v>9846</v>
      </c>
      <c r="C10" s="5" t="n">
        <v>12</v>
      </c>
      <c r="D10" s="5" t="s">
        <v>33</v>
      </c>
      <c r="E10" s="5" t="s">
        <v>34</v>
      </c>
      <c r="F10" s="5" t="n">
        <v>9846</v>
      </c>
      <c r="G10" s="5" t="n">
        <v>0</v>
      </c>
      <c r="H10" s="5" t="n">
        <v>0</v>
      </c>
      <c r="I10" s="5" t="n">
        <v>10494</v>
      </c>
      <c r="J10" s="5" t="n">
        <v>2</v>
      </c>
      <c r="K10" s="5" t="s">
        <v>35</v>
      </c>
    </row>
    <row r="11" customFormat="false" ht="23.25" hidden="false" customHeight="true" outlineLevel="0" collapsed="false">
      <c r="A11" s="5" t="s">
        <v>36</v>
      </c>
      <c r="B11" s="5" t="n">
        <v>4799</v>
      </c>
      <c r="C11" s="5" t="n">
        <v>6</v>
      </c>
      <c r="D11" s="5" t="s">
        <v>37</v>
      </c>
      <c r="E11" s="5" t="s">
        <v>38</v>
      </c>
      <c r="F11" s="5" t="s">
        <v>39</v>
      </c>
      <c r="G11" s="5" t="s">
        <v>39</v>
      </c>
      <c r="H11" s="5" t="n">
        <v>0</v>
      </c>
      <c r="I11" s="5" t="n">
        <v>40</v>
      </c>
      <c r="J11" s="5" t="n">
        <v>1</v>
      </c>
      <c r="K11" s="5" t="s">
        <v>40</v>
      </c>
    </row>
    <row r="12" customFormat="false" ht="15" hidden="false" customHeight="true" outlineLevel="0" collapsed="false">
      <c r="A12" s="5" t="s">
        <v>41</v>
      </c>
      <c r="B12" s="5" t="n">
        <v>35714</v>
      </c>
      <c r="C12" s="5" t="n">
        <v>13</v>
      </c>
      <c r="D12" s="5" t="s">
        <v>26</v>
      </c>
      <c r="E12" s="5" t="s">
        <v>27</v>
      </c>
      <c r="F12" s="5" t="n">
        <v>35704</v>
      </c>
      <c r="G12" s="5" t="n">
        <v>10</v>
      </c>
      <c r="H12" s="5" t="n">
        <v>10</v>
      </c>
      <c r="I12" s="5" t="n">
        <v>0</v>
      </c>
      <c r="J12" s="5" t="n">
        <v>0</v>
      </c>
      <c r="K12" s="5" t="s">
        <v>42</v>
      </c>
    </row>
    <row r="15" customFormat="false" ht="15" hidden="false" customHeight="true" outlineLevel="0" collapsed="false">
      <c r="A15" s="6" t="s">
        <v>43</v>
      </c>
    </row>
    <row r="16" customFormat="false" ht="15" hidden="false" customHeight="true" outlineLevel="0" collapsed="false">
      <c r="A16" s="7" t="str">
        <f aca="false">A4</f>
        <v>T01 Users_1000_Clean</v>
      </c>
      <c r="B16" s="8" t="n">
        <f aca="false">I4/(B4*C4)</f>
        <v>0.0352962962962963</v>
      </c>
    </row>
    <row r="17" customFormat="false" ht="15" hidden="false" customHeight="true" outlineLevel="0" collapsed="false">
      <c r="A17" s="7" t="str">
        <f aca="false">A5</f>
        <v>T01 Users_Messy_Audit</v>
      </c>
      <c r="B17" s="8" t="n">
        <f aca="false">I5/(B5*C5)</f>
        <v>0.0342261904761905</v>
      </c>
    </row>
    <row r="18" customFormat="false" ht="15" hidden="false" customHeight="true" outlineLevel="0" collapsed="false">
      <c r="A18" s="7" t="str">
        <f aca="false">A6</f>
        <v>SUP Users_1000</v>
      </c>
      <c r="B18" s="8" t="n">
        <f aca="false">I6/(B6*C6)</f>
        <v>0.052875</v>
      </c>
    </row>
    <row r="19" customFormat="false" ht="15" hidden="false" customHeight="true" outlineLevel="0" collapsed="false">
      <c r="A19" s="7" t="str">
        <f aca="false">A7</f>
        <v>SUP Sessions</v>
      </c>
      <c r="B19" s="8" t="n">
        <f aca="false">I7/(B7*C7)</f>
        <v>0.00490753612199334</v>
      </c>
    </row>
    <row r="20" customFormat="false" ht="15" hidden="false" customHeight="true" outlineLevel="0" collapsed="false">
      <c r="A20" s="7" t="str">
        <f aca="false">A8</f>
        <v>SUP Feature Events</v>
      </c>
      <c r="B20" s="8" t="n">
        <f aca="false">I8/(B8*C8)</f>
        <v>0</v>
      </c>
    </row>
    <row r="21" customFormat="false" ht="15" hidden="false" customHeight="true" outlineLevel="0" collapsed="false">
      <c r="A21" s="7" t="str">
        <f aca="false">A9</f>
        <v>SUP Daily Activity</v>
      </c>
      <c r="B21" s="8" t="n">
        <f aca="false">I9/(B9*C9)</f>
        <v>0</v>
      </c>
    </row>
    <row r="22" customFormat="false" ht="15" hidden="false" customHeight="true" outlineLevel="0" collapsed="false">
      <c r="A22" s="7" t="str">
        <f aca="false">A10</f>
        <v>SUP Task Activity</v>
      </c>
      <c r="B22" s="8" t="n">
        <f aca="false">I10/(B10*C10)</f>
        <v>0.0888177940280317</v>
      </c>
    </row>
    <row r="23" customFormat="false" ht="15" hidden="false" customHeight="true" outlineLevel="0" collapsed="false">
      <c r="A23" s="7" t="str">
        <f aca="false">A11</f>
        <v>SUP Milestones</v>
      </c>
      <c r="B23" s="8" t="n">
        <f aca="false">I11/(B11*C11)</f>
        <v>0.00138917830103494</v>
      </c>
    </row>
    <row r="24" customFormat="false" ht="15" hidden="false" customHeight="true" outlineLevel="0" collapsed="false">
      <c r="A24" s="7" t="str">
        <f aca="false">A12</f>
        <v>SUP Event audit sheet</v>
      </c>
      <c r="B24" s="8" t="n">
        <f aca="false">I12/(B12*C12)</f>
        <v>0</v>
      </c>
    </row>
    <row r="27" customFormat="false" ht="15" hidden="false" customHeight="true" outlineLevel="0" collapsed="false">
      <c r="A27" s="6" t="s">
        <v>44</v>
      </c>
    </row>
    <row r="28" customFormat="false" ht="15" hidden="false" customHeight="true" outlineLevel="0" collapsed="false">
      <c r="A28" s="9" t="s">
        <v>45</v>
      </c>
      <c r="B28" s="9" t="s">
        <v>46</v>
      </c>
      <c r="C28" s="9" t="s">
        <v>47</v>
      </c>
      <c r="D28" s="9" t="s">
        <v>48</v>
      </c>
    </row>
    <row r="29" customFormat="false" ht="15" hidden="false" customHeight="true" outlineLevel="0" collapsed="false">
      <c r="A29" s="7" t="s">
        <v>49</v>
      </c>
      <c r="B29" s="7" t="s">
        <v>50</v>
      </c>
      <c r="C29" s="7" t="n">
        <v>568</v>
      </c>
      <c r="D29" s="10" t="n">
        <f aca="false">C29/SUM($C$29:$C$32)</f>
        <v>0.568</v>
      </c>
    </row>
    <row r="30" customFormat="false" ht="15" hidden="false" customHeight="true" outlineLevel="0" collapsed="false">
      <c r="A30" s="7" t="s">
        <v>49</v>
      </c>
      <c r="B30" s="7" t="s">
        <v>51</v>
      </c>
      <c r="C30" s="7" t="n">
        <v>283</v>
      </c>
      <c r="D30" s="10" t="n">
        <f aca="false">C30/SUM($C$29:$C$32)</f>
        <v>0.283</v>
      </c>
    </row>
    <row r="31" customFormat="false" ht="15" hidden="false" customHeight="true" outlineLevel="0" collapsed="false">
      <c r="A31" s="7" t="s">
        <v>49</v>
      </c>
      <c r="B31" s="7" t="s">
        <v>52</v>
      </c>
      <c r="C31" s="7" t="n">
        <v>77</v>
      </c>
      <c r="D31" s="10" t="n">
        <f aca="false">C31/SUM($C$29:$C$32)</f>
        <v>0.077</v>
      </c>
    </row>
    <row r="32" customFormat="false" ht="15" hidden="false" customHeight="true" outlineLevel="0" collapsed="false">
      <c r="A32" s="7" t="s">
        <v>49</v>
      </c>
      <c r="B32" s="7" t="s">
        <v>53</v>
      </c>
      <c r="C32" s="7" t="n">
        <v>72</v>
      </c>
      <c r="D32" s="10" t="n">
        <f aca="false">C32/SUM($C$29:$C$32)</f>
        <v>0.072</v>
      </c>
    </row>
    <row r="33" customFormat="false" ht="15" hidden="false" customHeight="true" outlineLevel="0" collapsed="false">
      <c r="A33" s="7" t="s">
        <v>54</v>
      </c>
      <c r="B33" s="7" t="s">
        <v>55</v>
      </c>
      <c r="C33" s="7" t="n">
        <v>855</v>
      </c>
      <c r="D33" s="10" t="n">
        <f aca="false">C33/SUM($C$33:$C$34)</f>
        <v>0.855</v>
      </c>
    </row>
    <row r="34" customFormat="false" ht="15" hidden="false" customHeight="true" outlineLevel="0" collapsed="false">
      <c r="A34" s="7" t="s">
        <v>54</v>
      </c>
      <c r="B34" s="7" t="s">
        <v>56</v>
      </c>
      <c r="C34" s="7" t="n">
        <v>145</v>
      </c>
      <c r="D34" s="10" t="n">
        <f aca="false">C34/SUM($C$33:$C$34)</f>
        <v>0.145</v>
      </c>
    </row>
    <row r="35" customFormat="false" ht="15" hidden="false" customHeight="true" outlineLevel="0" collapsed="false">
      <c r="A35" s="7" t="s">
        <v>57</v>
      </c>
      <c r="B35" s="7" t="s">
        <v>58</v>
      </c>
      <c r="C35" s="7" t="n">
        <v>722</v>
      </c>
      <c r="D35" s="10" t="n">
        <f aca="false">C35/SUM($C$35:$C$37)</f>
        <v>0.722</v>
      </c>
    </row>
    <row r="36" customFormat="false" ht="15" hidden="false" customHeight="true" outlineLevel="0" collapsed="false">
      <c r="A36" s="7" t="s">
        <v>57</v>
      </c>
      <c r="B36" s="7" t="s">
        <v>59</v>
      </c>
      <c r="C36" s="7" t="n">
        <v>146</v>
      </c>
      <c r="D36" s="10" t="n">
        <f aca="false">C36/SUM($C$35:$C$37)</f>
        <v>0.146</v>
      </c>
    </row>
    <row r="37" customFormat="false" ht="15" hidden="false" customHeight="true" outlineLevel="0" collapsed="false">
      <c r="A37" s="7" t="s">
        <v>57</v>
      </c>
      <c r="B37" s="7" t="s">
        <v>60</v>
      </c>
      <c r="C37" s="7" t="n">
        <v>132</v>
      </c>
      <c r="D37" s="10" t="n">
        <f aca="false">C37/SUM($C$35:$C$37)</f>
        <v>0.132</v>
      </c>
    </row>
    <row r="38" customFormat="false" ht="15" hidden="false" customHeight="true" outlineLevel="0" collapsed="false">
      <c r="A38" s="7" t="s">
        <v>61</v>
      </c>
      <c r="B38" s="7" t="s">
        <v>62</v>
      </c>
      <c r="C38" s="7" t="n">
        <v>244</v>
      </c>
      <c r="D38" s="10" t="n">
        <f aca="false">C38/SUM($C$38:$C$44)</f>
        <v>0.244</v>
      </c>
    </row>
    <row r="39" customFormat="false" ht="15" hidden="false" customHeight="true" outlineLevel="0" collapsed="false">
      <c r="A39" s="7" t="s">
        <v>61</v>
      </c>
      <c r="B39" s="7" t="s">
        <v>63</v>
      </c>
      <c r="C39" s="7" t="n">
        <v>217</v>
      </c>
      <c r="D39" s="10" t="n">
        <f aca="false">C39/SUM($C$38:$C$44)</f>
        <v>0.217</v>
      </c>
    </row>
    <row r="40" customFormat="false" ht="15" hidden="false" customHeight="true" outlineLevel="0" collapsed="false">
      <c r="A40" s="7" t="s">
        <v>61</v>
      </c>
      <c r="B40" s="7" t="s">
        <v>64</v>
      </c>
      <c r="C40" s="7" t="n">
        <v>160</v>
      </c>
      <c r="D40" s="10" t="n">
        <f aca="false">C40/SUM($C$38:$C$44)</f>
        <v>0.16</v>
      </c>
    </row>
    <row r="41" customFormat="false" ht="15" hidden="false" customHeight="true" outlineLevel="0" collapsed="false">
      <c r="A41" s="7" t="s">
        <v>61</v>
      </c>
      <c r="B41" s="7" t="s">
        <v>65</v>
      </c>
      <c r="C41" s="7" t="n">
        <v>119</v>
      </c>
      <c r="D41" s="10" t="n">
        <f aca="false">C41/SUM($C$38:$C$44)</f>
        <v>0.119</v>
      </c>
    </row>
    <row r="42" customFormat="false" ht="15" hidden="false" customHeight="true" outlineLevel="0" collapsed="false">
      <c r="A42" s="7" t="s">
        <v>61</v>
      </c>
      <c r="B42" s="7" t="s">
        <v>66</v>
      </c>
      <c r="C42" s="7" t="n">
        <v>103</v>
      </c>
      <c r="D42" s="10" t="n">
        <f aca="false">C42/SUM($C$38:$C$44)</f>
        <v>0.103</v>
      </c>
    </row>
    <row r="43" customFormat="false" ht="15" hidden="false" customHeight="true" outlineLevel="0" collapsed="false">
      <c r="A43" s="7" t="s">
        <v>61</v>
      </c>
      <c r="B43" s="7" t="s">
        <v>67</v>
      </c>
      <c r="C43" s="7" t="n">
        <v>102</v>
      </c>
      <c r="D43" s="10" t="n">
        <f aca="false">C43/SUM($C$38:$C$44)</f>
        <v>0.102</v>
      </c>
    </row>
    <row r="44" customFormat="false" ht="15" hidden="false" customHeight="true" outlineLevel="0" collapsed="false">
      <c r="A44" s="7" t="s">
        <v>61</v>
      </c>
      <c r="B44" s="7" t="s">
        <v>68</v>
      </c>
      <c r="C44" s="7" t="n">
        <v>55</v>
      </c>
      <c r="D44" s="10" t="n">
        <f aca="false">C44/SUM($C$38:$C$44)</f>
        <v>0.055</v>
      </c>
    </row>
    <row r="45" customFormat="false" ht="15" hidden="false" customHeight="true" outlineLevel="0" collapsed="false">
      <c r="A45" s="7" t="s">
        <v>69</v>
      </c>
      <c r="B45" s="7" t="s">
        <v>70</v>
      </c>
      <c r="C45" s="7" t="n">
        <v>659</v>
      </c>
      <c r="D45" s="10" t="n">
        <f aca="false">C45/SUM($C$45:$C$48)</f>
        <v>0.659</v>
      </c>
    </row>
    <row r="46" customFormat="false" ht="15" hidden="false" customHeight="true" outlineLevel="0" collapsed="false">
      <c r="A46" s="7" t="s">
        <v>69</v>
      </c>
      <c r="B46" s="7" t="s">
        <v>71</v>
      </c>
      <c r="C46" s="7" t="n">
        <v>155</v>
      </c>
      <c r="D46" s="10" t="n">
        <f aca="false">C46/SUM($C$45:$C$48)</f>
        <v>0.155</v>
      </c>
    </row>
    <row r="47" customFormat="false" ht="15" hidden="false" customHeight="true" outlineLevel="0" collapsed="false">
      <c r="A47" s="7" t="s">
        <v>69</v>
      </c>
      <c r="B47" s="7" t="s">
        <v>72</v>
      </c>
      <c r="C47" s="7" t="n">
        <v>140</v>
      </c>
      <c r="D47" s="10" t="n">
        <f aca="false">C47/SUM($C$45:$C$48)</f>
        <v>0.14</v>
      </c>
    </row>
    <row r="48" customFormat="false" ht="15" hidden="false" customHeight="true" outlineLevel="0" collapsed="false">
      <c r="A48" s="7" t="s">
        <v>69</v>
      </c>
      <c r="B48" s="7" t="s">
        <v>73</v>
      </c>
      <c r="C48" s="7" t="n">
        <v>46</v>
      </c>
      <c r="D48" s="10" t="n">
        <f aca="false">C48/SUM($C$45:$C$48)</f>
        <v>0.046</v>
      </c>
    </row>
    <row r="49" customFormat="false" ht="15" hidden="false" customHeight="true" outlineLevel="0" collapsed="false">
      <c r="A49" s="7" t="s">
        <v>74</v>
      </c>
      <c r="B49" s="7" t="s">
        <v>75</v>
      </c>
      <c r="C49" s="7" t="n">
        <v>343</v>
      </c>
      <c r="D49" s="10" t="n">
        <f aca="false">C49/SUM($C$49:$C$51)</f>
        <v>0.343</v>
      </c>
    </row>
    <row r="50" customFormat="false" ht="15" hidden="false" customHeight="true" outlineLevel="0" collapsed="false">
      <c r="A50" s="7" t="s">
        <v>74</v>
      </c>
      <c r="B50" s="7" t="s">
        <v>76</v>
      </c>
      <c r="C50" s="7" t="n">
        <v>331</v>
      </c>
      <c r="D50" s="10" t="n">
        <f aca="false">C50/SUM($C$49:$C$51)</f>
        <v>0.331</v>
      </c>
    </row>
    <row r="51" customFormat="false" ht="15" hidden="false" customHeight="true" outlineLevel="0" collapsed="false">
      <c r="A51" s="7" t="s">
        <v>74</v>
      </c>
      <c r="B51" s="7" t="s">
        <v>77</v>
      </c>
      <c r="C51" s="7" t="n">
        <v>326</v>
      </c>
      <c r="D51" s="10" t="n">
        <f aca="false">C51/SUM($C$49:$C$51)</f>
        <v>0.326</v>
      </c>
    </row>
    <row r="52" customFormat="false" ht="15" hidden="false" customHeight="true" outlineLevel="0" collapsed="false">
      <c r="A52" s="7" t="s">
        <v>78</v>
      </c>
      <c r="B52" s="7" t="s">
        <v>79</v>
      </c>
      <c r="C52" s="7" t="n">
        <v>923</v>
      </c>
      <c r="D52" s="10" t="n">
        <f aca="false">C52/SUM($C$52:$C$53)</f>
        <v>0.923</v>
      </c>
    </row>
    <row r="53" customFormat="false" ht="15" hidden="false" customHeight="true" outlineLevel="0" collapsed="false">
      <c r="A53" s="7" t="s">
        <v>78</v>
      </c>
      <c r="B53" s="7" t="s">
        <v>56</v>
      </c>
      <c r="C53" s="7" t="n">
        <v>77</v>
      </c>
      <c r="D53" s="10" t="n">
        <f aca="false">C53/SUM($C$52:$C$53)</f>
        <v>0.077</v>
      </c>
    </row>
    <row r="54" customFormat="false" ht="15" hidden="false" customHeight="true" outlineLevel="0" collapsed="false">
      <c r="A54" s="7" t="s">
        <v>80</v>
      </c>
      <c r="B54" s="7" t="s">
        <v>81</v>
      </c>
      <c r="C54" s="7" t="n">
        <v>558</v>
      </c>
      <c r="D54" s="10" t="n">
        <f aca="false">C54/SUM($C$54:$C$55)</f>
        <v>0.558</v>
      </c>
    </row>
    <row r="55" customFormat="false" ht="15" hidden="false" customHeight="true" outlineLevel="0" collapsed="false">
      <c r="A55" s="7" t="s">
        <v>80</v>
      </c>
      <c r="B55" s="7" t="s">
        <v>82</v>
      </c>
      <c r="C55" s="7" t="n">
        <v>442</v>
      </c>
      <c r="D55" s="10" t="n">
        <f aca="false">C55/SUM($C$54:$C$55)</f>
        <v>0.442</v>
      </c>
    </row>
    <row r="56" customFormat="false" ht="15" hidden="false" customHeight="true" outlineLevel="0" collapsed="false">
      <c r="A56" s="7" t="s">
        <v>83</v>
      </c>
      <c r="B56" s="7" t="s">
        <v>84</v>
      </c>
      <c r="C56" s="7" t="n">
        <v>661</v>
      </c>
      <c r="D56" s="10" t="n">
        <f aca="false">C56/SUM($C$56:$C$57)</f>
        <v>0.661</v>
      </c>
    </row>
    <row r="57" customFormat="false" ht="15" hidden="false" customHeight="true" outlineLevel="0" collapsed="false">
      <c r="A57" s="7" t="s">
        <v>83</v>
      </c>
      <c r="B57" s="7" t="s">
        <v>85</v>
      </c>
      <c r="C57" s="7" t="n">
        <v>339</v>
      </c>
      <c r="D57" s="10" t="n">
        <f aca="false">C57/SUM($C$56:$C$57)</f>
        <v>0.339</v>
      </c>
    </row>
    <row r="58" customFormat="false" ht="15" hidden="false" customHeight="true" outlineLevel="0" collapsed="false">
      <c r="A58" s="7" t="s">
        <v>86</v>
      </c>
      <c r="B58" s="7" t="s">
        <v>81</v>
      </c>
      <c r="C58" s="7" t="n">
        <v>922</v>
      </c>
      <c r="D58" s="10" t="n">
        <f aca="false">C58/SUM($C$58:$C$59)</f>
        <v>0.922</v>
      </c>
    </row>
    <row r="59" customFormat="false" ht="15" hidden="false" customHeight="true" outlineLevel="0" collapsed="false">
      <c r="A59" s="7" t="s">
        <v>86</v>
      </c>
      <c r="B59" s="7" t="s">
        <v>82</v>
      </c>
      <c r="C59" s="7" t="n">
        <v>78</v>
      </c>
      <c r="D59" s="10" t="n">
        <f aca="false">C59/SUM($C$58:$C$59)</f>
        <v>0.078</v>
      </c>
    </row>
    <row r="60" customFormat="false" ht="15" hidden="false" customHeight="true" outlineLevel="0" collapsed="false">
      <c r="A60" s="7" t="s">
        <v>87</v>
      </c>
      <c r="B60" s="7" t="s">
        <v>81</v>
      </c>
      <c r="C60" s="7" t="n">
        <v>675</v>
      </c>
      <c r="D60" s="10" t="n">
        <f aca="false">C60/SUM($C$60:$C$61)</f>
        <v>0.675</v>
      </c>
    </row>
    <row r="61" customFormat="false" ht="15" hidden="false" customHeight="true" outlineLevel="0" collapsed="false">
      <c r="A61" s="7" t="s">
        <v>87</v>
      </c>
      <c r="B61" s="7" t="s">
        <v>82</v>
      </c>
      <c r="C61" s="7" t="n">
        <v>325</v>
      </c>
      <c r="D61" s="10" t="n">
        <f aca="false">C61/SUM($C$60:$C$61)</f>
        <v>0.325</v>
      </c>
    </row>
  </sheetData>
  <autoFilter ref="A3:K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6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6" min="5" style="1" width="8"/>
    <col collapsed="false" customWidth="true" hidden="false" outlineLevel="0" max="8" min="7" style="1" width="22"/>
    <col collapsed="false" customWidth="true" hidden="false" outlineLevel="0" max="9" min="9" style="1" width="70"/>
  </cols>
  <sheetData>
    <row r="1" customFormat="false" ht="17.25" hidden="false" customHeight="true" outlineLevel="0" collapsed="false">
      <c r="A1" s="2" t="s">
        <v>88</v>
      </c>
    </row>
    <row r="2" customFormat="false" ht="15" hidden="false" customHeight="true" outlineLevel="0" collapsed="false">
      <c r="A2" s="3" t="s">
        <v>1</v>
      </c>
    </row>
    <row r="3" customFormat="false" ht="23.25" hidden="false" customHeight="true" outlineLevel="0" collapsed="false">
      <c r="A3" s="4" t="s">
        <v>2</v>
      </c>
      <c r="B3" s="4" t="s">
        <v>89</v>
      </c>
      <c r="C3" s="4" t="s">
        <v>90</v>
      </c>
      <c r="D3" s="4" t="s">
        <v>91</v>
      </c>
      <c r="E3" s="4" t="s">
        <v>92</v>
      </c>
      <c r="F3" s="4" t="s">
        <v>93</v>
      </c>
      <c r="G3" s="4" t="s">
        <v>94</v>
      </c>
      <c r="H3" s="4" t="s">
        <v>95</v>
      </c>
      <c r="I3" s="4" t="s">
        <v>96</v>
      </c>
    </row>
    <row r="4" customFormat="false" ht="15" hidden="false" customHeight="true" outlineLevel="0" collapsed="false">
      <c r="A4" s="5" t="s">
        <v>13</v>
      </c>
      <c r="B4" s="5" t="s">
        <v>15</v>
      </c>
      <c r="C4" s="5" t="s">
        <v>97</v>
      </c>
      <c r="D4" s="5" t="n">
        <v>1000</v>
      </c>
      <c r="E4" s="5" t="n">
        <v>0</v>
      </c>
      <c r="F4" s="5" t="n">
        <v>1000</v>
      </c>
      <c r="G4" s="5"/>
      <c r="H4" s="5"/>
      <c r="I4" s="5"/>
    </row>
    <row r="5" customFormat="false" ht="15" hidden="false" customHeight="true" outlineLevel="0" collapsed="false">
      <c r="A5" s="5" t="s">
        <v>13</v>
      </c>
      <c r="B5" s="5" t="s">
        <v>98</v>
      </c>
      <c r="C5" s="5" t="s">
        <v>97</v>
      </c>
      <c r="D5" s="5" t="n">
        <v>1000</v>
      </c>
      <c r="E5" s="5" t="n">
        <v>0</v>
      </c>
      <c r="F5" s="5" t="n">
        <v>404</v>
      </c>
      <c r="G5" s="5"/>
      <c r="H5" s="5"/>
      <c r="I5" s="5"/>
    </row>
    <row r="6" customFormat="false" ht="15" hidden="false" customHeight="true" outlineLevel="0" collapsed="false">
      <c r="A6" s="5" t="s">
        <v>13</v>
      </c>
      <c r="B6" s="5" t="s">
        <v>99</v>
      </c>
      <c r="C6" s="5" t="s">
        <v>97</v>
      </c>
      <c r="D6" s="5" t="n">
        <v>1000</v>
      </c>
      <c r="E6" s="5" t="n">
        <v>0</v>
      </c>
      <c r="F6" s="5" t="n">
        <v>1000</v>
      </c>
      <c r="G6" s="5"/>
      <c r="H6" s="5"/>
      <c r="I6" s="5"/>
    </row>
    <row r="7" customFormat="false" ht="15" hidden="false" customHeight="true" outlineLevel="0" collapsed="false">
      <c r="A7" s="5" t="s">
        <v>13</v>
      </c>
      <c r="B7" s="5" t="s">
        <v>100</v>
      </c>
      <c r="C7" s="5" t="s">
        <v>101</v>
      </c>
      <c r="D7" s="5" t="n">
        <v>1000</v>
      </c>
      <c r="E7" s="5" t="n">
        <v>0</v>
      </c>
      <c r="F7" s="5" t="n">
        <v>21</v>
      </c>
      <c r="G7" s="5" t="s">
        <v>102</v>
      </c>
      <c r="H7" s="5" t="s">
        <v>103</v>
      </c>
      <c r="I7" s="5" t="s">
        <v>104</v>
      </c>
    </row>
    <row r="8" customFormat="false" ht="15" hidden="false" customHeight="true" outlineLevel="0" collapsed="false">
      <c r="A8" s="5" t="s">
        <v>13</v>
      </c>
      <c r="B8" s="5" t="s">
        <v>74</v>
      </c>
      <c r="C8" s="5" t="s">
        <v>97</v>
      </c>
      <c r="D8" s="5" t="n">
        <v>1000</v>
      </c>
      <c r="E8" s="5" t="n">
        <v>0</v>
      </c>
      <c r="F8" s="5" t="n">
        <v>3</v>
      </c>
      <c r="G8" s="5"/>
      <c r="H8" s="5"/>
      <c r="I8" s="5" t="s">
        <v>105</v>
      </c>
    </row>
    <row r="9" customFormat="false" ht="15" hidden="false" customHeight="true" outlineLevel="0" collapsed="false">
      <c r="A9" s="5" t="s">
        <v>13</v>
      </c>
      <c r="B9" s="5" t="s">
        <v>106</v>
      </c>
      <c r="C9" s="5" t="s">
        <v>97</v>
      </c>
      <c r="D9" s="5" t="n">
        <v>1000</v>
      </c>
      <c r="E9" s="5" t="n">
        <v>0</v>
      </c>
      <c r="F9" s="5" t="n">
        <v>17</v>
      </c>
      <c r="G9" s="5"/>
      <c r="H9" s="5"/>
      <c r="I9" s="5" t="s">
        <v>107</v>
      </c>
    </row>
    <row r="10" customFormat="false" ht="15" hidden="false" customHeight="true" outlineLevel="0" collapsed="false">
      <c r="A10" s="5" t="s">
        <v>13</v>
      </c>
      <c r="B10" s="5" t="s">
        <v>108</v>
      </c>
      <c r="C10" s="5" t="s">
        <v>97</v>
      </c>
      <c r="D10" s="5" t="n">
        <v>1000</v>
      </c>
      <c r="E10" s="5" t="n">
        <v>0</v>
      </c>
      <c r="F10" s="5" t="n">
        <v>29</v>
      </c>
      <c r="G10" s="5"/>
      <c r="H10" s="5"/>
      <c r="I10" s="5" t="s">
        <v>109</v>
      </c>
    </row>
    <row r="11" customFormat="false" ht="23.25" hidden="false" customHeight="true" outlineLevel="0" collapsed="false">
      <c r="A11" s="5" t="s">
        <v>13</v>
      </c>
      <c r="B11" s="5" t="s">
        <v>110</v>
      </c>
      <c r="C11" s="5" t="s">
        <v>111</v>
      </c>
      <c r="D11" s="5" t="n">
        <v>1000</v>
      </c>
      <c r="E11" s="5" t="n">
        <v>0</v>
      </c>
      <c r="F11" s="5" t="n">
        <v>999</v>
      </c>
      <c r="G11" s="5" t="s">
        <v>112</v>
      </c>
      <c r="H11" s="5" t="s">
        <v>113</v>
      </c>
      <c r="I11" s="5"/>
    </row>
    <row r="12" customFormat="false" ht="15" hidden="false" customHeight="true" outlineLevel="0" collapsed="false">
      <c r="A12" s="5" t="s">
        <v>13</v>
      </c>
      <c r="B12" s="5" t="s">
        <v>61</v>
      </c>
      <c r="C12" s="5" t="s">
        <v>97</v>
      </c>
      <c r="D12" s="5" t="n">
        <v>1000</v>
      </c>
      <c r="E12" s="5" t="n">
        <v>0</v>
      </c>
      <c r="F12" s="5" t="n">
        <v>7</v>
      </c>
      <c r="G12" s="5"/>
      <c r="H12" s="5"/>
      <c r="I12" s="5" t="s">
        <v>114</v>
      </c>
    </row>
    <row r="13" customFormat="false" ht="15" hidden="false" customHeight="true" outlineLevel="0" collapsed="false">
      <c r="A13" s="5" t="s">
        <v>13</v>
      </c>
      <c r="B13" s="5" t="s">
        <v>115</v>
      </c>
      <c r="C13" s="5" t="s">
        <v>97</v>
      </c>
      <c r="D13" s="5" t="n">
        <v>119</v>
      </c>
      <c r="E13" s="5" t="n">
        <v>881</v>
      </c>
      <c r="F13" s="5" t="n">
        <v>1</v>
      </c>
      <c r="G13" s="5"/>
      <c r="H13" s="5"/>
      <c r="I13" s="5" t="s">
        <v>116</v>
      </c>
    </row>
    <row r="14" customFormat="false" ht="15" hidden="false" customHeight="true" outlineLevel="0" collapsed="false">
      <c r="A14" s="5" t="s">
        <v>13</v>
      </c>
      <c r="B14" s="5" t="s">
        <v>69</v>
      </c>
      <c r="C14" s="5" t="s">
        <v>97</v>
      </c>
      <c r="D14" s="5" t="n">
        <v>1000</v>
      </c>
      <c r="E14" s="5" t="n">
        <v>0</v>
      </c>
      <c r="F14" s="5" t="n">
        <v>4</v>
      </c>
      <c r="G14" s="5"/>
      <c r="H14" s="5"/>
      <c r="I14" s="5" t="s">
        <v>117</v>
      </c>
    </row>
    <row r="15" customFormat="false" ht="15" hidden="false" customHeight="true" outlineLevel="0" collapsed="false">
      <c r="A15" s="5" t="s">
        <v>13</v>
      </c>
      <c r="B15" s="5" t="s">
        <v>118</v>
      </c>
      <c r="C15" s="5" t="s">
        <v>97</v>
      </c>
      <c r="D15" s="5" t="n">
        <v>1000</v>
      </c>
      <c r="E15" s="5" t="n">
        <v>0</v>
      </c>
      <c r="F15" s="5" t="n">
        <v>1</v>
      </c>
      <c r="G15" s="5"/>
      <c r="H15" s="5"/>
      <c r="I15" s="5" t="s">
        <v>119</v>
      </c>
    </row>
    <row r="16" customFormat="false" ht="15" hidden="false" customHeight="true" outlineLevel="0" collapsed="false">
      <c r="A16" s="5" t="s">
        <v>13</v>
      </c>
      <c r="B16" s="5" t="s">
        <v>49</v>
      </c>
      <c r="C16" s="5" t="s">
        <v>97</v>
      </c>
      <c r="D16" s="5" t="n">
        <v>1000</v>
      </c>
      <c r="E16" s="5" t="n">
        <v>0</v>
      </c>
      <c r="F16" s="5" t="n">
        <v>4</v>
      </c>
      <c r="G16" s="5"/>
      <c r="H16" s="5"/>
      <c r="I16" s="5" t="s">
        <v>120</v>
      </c>
    </row>
    <row r="17" customFormat="false" ht="15" hidden="false" customHeight="true" outlineLevel="0" collapsed="false">
      <c r="A17" s="5" t="s">
        <v>13</v>
      </c>
      <c r="B17" s="5" t="s">
        <v>54</v>
      </c>
      <c r="C17" s="5" t="s">
        <v>97</v>
      </c>
      <c r="D17" s="5" t="n">
        <v>1000</v>
      </c>
      <c r="E17" s="5" t="n">
        <v>0</v>
      </c>
      <c r="F17" s="5" t="n">
        <v>2</v>
      </c>
      <c r="G17" s="5"/>
      <c r="H17" s="5"/>
      <c r="I17" s="5" t="s">
        <v>121</v>
      </c>
    </row>
    <row r="18" customFormat="false" ht="15" hidden="false" customHeight="true" outlineLevel="0" collapsed="false">
      <c r="A18" s="5" t="s">
        <v>13</v>
      </c>
      <c r="B18" s="5" t="s">
        <v>57</v>
      </c>
      <c r="C18" s="5" t="s">
        <v>97</v>
      </c>
      <c r="D18" s="5" t="n">
        <v>1000</v>
      </c>
      <c r="E18" s="5" t="n">
        <v>0</v>
      </c>
      <c r="F18" s="5" t="n">
        <v>3</v>
      </c>
      <c r="G18" s="5"/>
      <c r="H18" s="5"/>
      <c r="I18" s="5" t="s">
        <v>122</v>
      </c>
    </row>
    <row r="19" customFormat="false" ht="23.25" hidden="false" customHeight="true" outlineLevel="0" collapsed="false">
      <c r="A19" s="5" t="s">
        <v>13</v>
      </c>
      <c r="B19" s="5" t="s">
        <v>123</v>
      </c>
      <c r="C19" s="5" t="s">
        <v>111</v>
      </c>
      <c r="D19" s="5" t="n">
        <v>928</v>
      </c>
      <c r="E19" s="5" t="n">
        <v>72</v>
      </c>
      <c r="F19" s="5" t="n">
        <v>899</v>
      </c>
      <c r="G19" s="5" t="s">
        <v>124</v>
      </c>
      <c r="H19" s="5" t="s">
        <v>125</v>
      </c>
      <c r="I19" s="5"/>
    </row>
    <row r="20" customFormat="false" ht="15" hidden="false" customHeight="true" outlineLevel="0" collapsed="false">
      <c r="A20" s="5" t="s">
        <v>13</v>
      </c>
      <c r="B20" s="5" t="s">
        <v>126</v>
      </c>
      <c r="C20" s="5" t="s">
        <v>101</v>
      </c>
      <c r="D20" s="5" t="n">
        <v>1000</v>
      </c>
      <c r="E20" s="5" t="n">
        <v>0</v>
      </c>
      <c r="F20" s="5" t="n">
        <v>58</v>
      </c>
      <c r="G20" s="5" t="s">
        <v>127</v>
      </c>
      <c r="H20" s="5" t="s">
        <v>128</v>
      </c>
      <c r="I20" s="5"/>
    </row>
    <row r="21" customFormat="false" ht="15" hidden="false" customHeight="true" outlineLevel="0" collapsed="false">
      <c r="A21" s="5" t="s">
        <v>13</v>
      </c>
      <c r="B21" s="5" t="s">
        <v>129</v>
      </c>
      <c r="C21" s="5" t="s">
        <v>101</v>
      </c>
      <c r="D21" s="5" t="n">
        <v>1000</v>
      </c>
      <c r="E21" s="5" t="n">
        <v>0</v>
      </c>
      <c r="F21" s="5" t="n">
        <v>33</v>
      </c>
      <c r="G21" s="5" t="s">
        <v>127</v>
      </c>
      <c r="H21" s="5" t="s">
        <v>130</v>
      </c>
      <c r="I21" s="5" t="s">
        <v>131</v>
      </c>
    </row>
    <row r="22" customFormat="false" ht="15" hidden="false" customHeight="true" outlineLevel="0" collapsed="false">
      <c r="A22" s="5" t="s">
        <v>13</v>
      </c>
      <c r="B22" s="5" t="s">
        <v>132</v>
      </c>
      <c r="C22" s="5" t="s">
        <v>101</v>
      </c>
      <c r="D22" s="5" t="n">
        <v>1000</v>
      </c>
      <c r="E22" s="5" t="n">
        <v>0</v>
      </c>
      <c r="F22" s="5" t="n">
        <v>450</v>
      </c>
      <c r="G22" s="5" t="s">
        <v>133</v>
      </c>
      <c r="H22" s="5" t="s">
        <v>134</v>
      </c>
      <c r="I22" s="5"/>
    </row>
    <row r="23" customFormat="false" ht="15" hidden="false" customHeight="true" outlineLevel="0" collapsed="false">
      <c r="A23" s="5" t="s">
        <v>13</v>
      </c>
      <c r="B23" s="5" t="s">
        <v>135</v>
      </c>
      <c r="C23" s="5" t="s">
        <v>97</v>
      </c>
      <c r="D23" s="5" t="n">
        <v>1000</v>
      </c>
      <c r="E23" s="5" t="n">
        <v>0</v>
      </c>
      <c r="F23" s="5" t="n">
        <v>1000</v>
      </c>
      <c r="G23" s="5"/>
      <c r="H23" s="5"/>
      <c r="I23" s="5"/>
    </row>
    <row r="24" customFormat="false" ht="15" hidden="false" customHeight="true" outlineLevel="0" collapsed="false">
      <c r="A24" s="5" t="s">
        <v>13</v>
      </c>
      <c r="B24" s="5" t="s">
        <v>136</v>
      </c>
      <c r="C24" s="5" t="s">
        <v>137</v>
      </c>
      <c r="D24" s="5" t="n">
        <v>1000</v>
      </c>
      <c r="E24" s="5" t="n">
        <v>0</v>
      </c>
      <c r="F24" s="5" t="n">
        <v>754</v>
      </c>
      <c r="G24" s="5" t="s">
        <v>138</v>
      </c>
      <c r="H24" s="5" t="s">
        <v>139</v>
      </c>
      <c r="I24" s="5"/>
    </row>
    <row r="25" customFormat="false" ht="15" hidden="false" customHeight="true" outlineLevel="0" collapsed="false">
      <c r="A25" s="5" t="s">
        <v>13</v>
      </c>
      <c r="B25" s="5" t="s">
        <v>86</v>
      </c>
      <c r="C25" s="5" t="s">
        <v>97</v>
      </c>
      <c r="D25" s="5" t="n">
        <v>1000</v>
      </c>
      <c r="E25" s="5" t="n">
        <v>0</v>
      </c>
      <c r="F25" s="5" t="n">
        <v>2</v>
      </c>
      <c r="G25" s="5"/>
      <c r="H25" s="5"/>
      <c r="I25" s="5" t="s">
        <v>140</v>
      </c>
    </row>
    <row r="26" customFormat="false" ht="15" hidden="false" customHeight="true" outlineLevel="0" collapsed="false">
      <c r="A26" s="5" t="s">
        <v>13</v>
      </c>
      <c r="B26" s="5" t="s">
        <v>87</v>
      </c>
      <c r="C26" s="5" t="s">
        <v>97</v>
      </c>
      <c r="D26" s="5" t="n">
        <v>1000</v>
      </c>
      <c r="E26" s="5" t="n">
        <v>0</v>
      </c>
      <c r="F26" s="5" t="n">
        <v>2</v>
      </c>
      <c r="G26" s="5"/>
      <c r="H26" s="5"/>
      <c r="I26" s="5" t="s">
        <v>141</v>
      </c>
    </row>
    <row r="27" customFormat="false" ht="15" hidden="false" customHeight="true" outlineLevel="0" collapsed="false">
      <c r="A27" s="5" t="s">
        <v>13</v>
      </c>
      <c r="B27" s="5" t="s">
        <v>78</v>
      </c>
      <c r="C27" s="5" t="s">
        <v>97</v>
      </c>
      <c r="D27" s="5" t="n">
        <v>1000</v>
      </c>
      <c r="E27" s="5" t="n">
        <v>0</v>
      </c>
      <c r="F27" s="5" t="n">
        <v>2</v>
      </c>
      <c r="G27" s="5"/>
      <c r="H27" s="5"/>
      <c r="I27" s="5" t="s">
        <v>142</v>
      </c>
    </row>
    <row r="28" customFormat="false" ht="15" hidden="false" customHeight="true" outlineLevel="0" collapsed="false">
      <c r="A28" s="5" t="s">
        <v>13</v>
      </c>
      <c r="B28" s="5" t="s">
        <v>80</v>
      </c>
      <c r="C28" s="5" t="s">
        <v>97</v>
      </c>
      <c r="D28" s="5" t="n">
        <v>1000</v>
      </c>
      <c r="E28" s="5" t="n">
        <v>0</v>
      </c>
      <c r="F28" s="5" t="n">
        <v>2</v>
      </c>
      <c r="G28" s="5"/>
      <c r="H28" s="5"/>
      <c r="I28" s="5" t="s">
        <v>143</v>
      </c>
    </row>
    <row r="29" customFormat="false" ht="15" hidden="false" customHeight="true" outlineLevel="0" collapsed="false">
      <c r="A29" s="5" t="s">
        <v>13</v>
      </c>
      <c r="B29" s="5" t="s">
        <v>83</v>
      </c>
      <c r="C29" s="5" t="s">
        <v>97</v>
      </c>
      <c r="D29" s="5" t="n">
        <v>1000</v>
      </c>
      <c r="E29" s="5" t="n">
        <v>0</v>
      </c>
      <c r="F29" s="5" t="n">
        <v>2</v>
      </c>
      <c r="G29" s="5"/>
      <c r="H29" s="5"/>
      <c r="I29" s="5" t="s">
        <v>144</v>
      </c>
    </row>
    <row r="30" customFormat="false" ht="15" hidden="false" customHeight="true" outlineLevel="0" collapsed="false">
      <c r="A30" s="5" t="s">
        <v>13</v>
      </c>
      <c r="B30" s="5" t="s">
        <v>145</v>
      </c>
      <c r="C30" s="5" t="s">
        <v>97</v>
      </c>
      <c r="D30" s="5" t="n">
        <v>1000</v>
      </c>
      <c r="E30" s="5" t="n">
        <v>0</v>
      </c>
      <c r="F30" s="5" t="n">
        <v>1</v>
      </c>
      <c r="G30" s="5"/>
      <c r="H30" s="5"/>
      <c r="I30" s="5" t="s">
        <v>146</v>
      </c>
    </row>
    <row r="31" customFormat="false" ht="15" hidden="false" customHeight="true" outlineLevel="0" collapsed="false">
      <c r="A31" s="5" t="s">
        <v>17</v>
      </c>
      <c r="B31" s="5" t="s">
        <v>15</v>
      </c>
      <c r="C31" s="5" t="s">
        <v>97</v>
      </c>
      <c r="D31" s="5" t="n">
        <v>1008</v>
      </c>
      <c r="E31" s="5" t="n">
        <v>0</v>
      </c>
      <c r="F31" s="5" t="n">
        <v>1000</v>
      </c>
      <c r="G31" s="5"/>
      <c r="H31" s="5"/>
      <c r="I31" s="5"/>
    </row>
    <row r="32" customFormat="false" ht="15" hidden="false" customHeight="true" outlineLevel="0" collapsed="false">
      <c r="A32" s="5" t="s">
        <v>17</v>
      </c>
      <c r="B32" s="5" t="s">
        <v>98</v>
      </c>
      <c r="C32" s="5" t="s">
        <v>97</v>
      </c>
      <c r="D32" s="5" t="n">
        <v>1008</v>
      </c>
      <c r="E32" s="5" t="n">
        <v>0</v>
      </c>
      <c r="F32" s="5" t="n">
        <v>404</v>
      </c>
      <c r="G32" s="5"/>
      <c r="H32" s="5"/>
      <c r="I32" s="5"/>
    </row>
    <row r="33" customFormat="false" ht="15" hidden="false" customHeight="true" outlineLevel="0" collapsed="false">
      <c r="A33" s="5" t="s">
        <v>17</v>
      </c>
      <c r="B33" s="5" t="s">
        <v>99</v>
      </c>
      <c r="C33" s="5" t="s">
        <v>97</v>
      </c>
      <c r="D33" s="5" t="n">
        <v>1008</v>
      </c>
      <c r="E33" s="5" t="n">
        <v>0</v>
      </c>
      <c r="F33" s="5" t="n">
        <v>1000</v>
      </c>
      <c r="G33" s="5"/>
      <c r="H33" s="5"/>
      <c r="I33" s="5"/>
    </row>
    <row r="34" customFormat="false" ht="15" hidden="false" customHeight="true" outlineLevel="0" collapsed="false">
      <c r="A34" s="5" t="s">
        <v>17</v>
      </c>
      <c r="B34" s="5" t="s">
        <v>100</v>
      </c>
      <c r="C34" s="5" t="s">
        <v>97</v>
      </c>
      <c r="D34" s="5" t="n">
        <v>1007</v>
      </c>
      <c r="E34" s="5" t="n">
        <v>1</v>
      </c>
      <c r="F34" s="5" t="n">
        <v>21</v>
      </c>
      <c r="G34" s="5" t="s">
        <v>147</v>
      </c>
      <c r="H34" s="5" t="s">
        <v>148</v>
      </c>
      <c r="I34" s="5" t="s">
        <v>149</v>
      </c>
    </row>
    <row r="35" customFormat="false" ht="15" hidden="false" customHeight="true" outlineLevel="0" collapsed="false">
      <c r="A35" s="5" t="s">
        <v>17</v>
      </c>
      <c r="B35" s="5" t="s">
        <v>74</v>
      </c>
      <c r="C35" s="5" t="s">
        <v>97</v>
      </c>
      <c r="D35" s="5" t="n">
        <v>1007</v>
      </c>
      <c r="E35" s="5" t="n">
        <v>1</v>
      </c>
      <c r="F35" s="5" t="n">
        <v>3</v>
      </c>
      <c r="G35" s="5"/>
      <c r="H35" s="5"/>
      <c r="I35" s="5" t="s">
        <v>150</v>
      </c>
    </row>
    <row r="36" customFormat="false" ht="15" hidden="false" customHeight="true" outlineLevel="0" collapsed="false">
      <c r="A36" s="5" t="s">
        <v>17</v>
      </c>
      <c r="B36" s="5" t="s">
        <v>106</v>
      </c>
      <c r="C36" s="5" t="s">
        <v>97</v>
      </c>
      <c r="D36" s="5" t="n">
        <v>1008</v>
      </c>
      <c r="E36" s="5" t="n">
        <v>0</v>
      </c>
      <c r="F36" s="5" t="n">
        <v>17</v>
      </c>
      <c r="G36" s="5"/>
      <c r="H36" s="5"/>
      <c r="I36" s="5" t="s">
        <v>151</v>
      </c>
    </row>
    <row r="37" customFormat="false" ht="15" hidden="false" customHeight="true" outlineLevel="0" collapsed="false">
      <c r="A37" s="5" t="s">
        <v>17</v>
      </c>
      <c r="B37" s="5" t="s">
        <v>108</v>
      </c>
      <c r="C37" s="5" t="s">
        <v>97</v>
      </c>
      <c r="D37" s="5" t="n">
        <v>1007</v>
      </c>
      <c r="E37" s="5" t="n">
        <v>1</v>
      </c>
      <c r="F37" s="5" t="n">
        <v>29</v>
      </c>
      <c r="G37" s="5"/>
      <c r="H37" s="5"/>
      <c r="I37" s="5" t="s">
        <v>152</v>
      </c>
    </row>
    <row r="38" customFormat="false" ht="15" hidden="false" customHeight="true" outlineLevel="0" collapsed="false">
      <c r="A38" s="5" t="s">
        <v>17</v>
      </c>
      <c r="B38" s="5" t="s">
        <v>110</v>
      </c>
      <c r="C38" s="5" t="s">
        <v>97</v>
      </c>
      <c r="D38" s="5" t="n">
        <v>1007</v>
      </c>
      <c r="E38" s="5" t="n">
        <v>1</v>
      </c>
      <c r="F38" s="5" t="n">
        <v>998</v>
      </c>
      <c r="G38" s="5"/>
      <c r="H38" s="5"/>
      <c r="I38" s="5"/>
    </row>
    <row r="39" customFormat="false" ht="15" hidden="false" customHeight="true" outlineLevel="0" collapsed="false">
      <c r="A39" s="5" t="s">
        <v>17</v>
      </c>
      <c r="B39" s="5" t="s">
        <v>61</v>
      </c>
      <c r="C39" s="5" t="s">
        <v>97</v>
      </c>
      <c r="D39" s="5" t="n">
        <v>1007</v>
      </c>
      <c r="E39" s="5" t="n">
        <v>1</v>
      </c>
      <c r="F39" s="5" t="n">
        <v>7</v>
      </c>
      <c r="G39" s="5"/>
      <c r="H39" s="5"/>
      <c r="I39" s="5" t="s">
        <v>153</v>
      </c>
    </row>
    <row r="40" customFormat="false" ht="15" hidden="false" customHeight="true" outlineLevel="0" collapsed="false">
      <c r="A40" s="5" t="s">
        <v>17</v>
      </c>
      <c r="B40" s="5" t="s">
        <v>115</v>
      </c>
      <c r="C40" s="5" t="s">
        <v>97</v>
      </c>
      <c r="D40" s="5" t="n">
        <v>123</v>
      </c>
      <c r="E40" s="5" t="n">
        <v>885</v>
      </c>
      <c r="F40" s="5" t="n">
        <v>1</v>
      </c>
      <c r="G40" s="5"/>
      <c r="H40" s="5"/>
      <c r="I40" s="5" t="s">
        <v>154</v>
      </c>
    </row>
    <row r="41" customFormat="false" ht="15" hidden="false" customHeight="true" outlineLevel="0" collapsed="false">
      <c r="A41" s="5" t="s">
        <v>17</v>
      </c>
      <c r="B41" s="5" t="s">
        <v>69</v>
      </c>
      <c r="C41" s="5" t="s">
        <v>97</v>
      </c>
      <c r="D41" s="5" t="n">
        <v>1007</v>
      </c>
      <c r="E41" s="5" t="n">
        <v>1</v>
      </c>
      <c r="F41" s="5" t="n">
        <v>4</v>
      </c>
      <c r="G41" s="5"/>
      <c r="H41" s="5"/>
      <c r="I41" s="5" t="s">
        <v>155</v>
      </c>
    </row>
    <row r="42" customFormat="false" ht="15" hidden="false" customHeight="true" outlineLevel="0" collapsed="false">
      <c r="A42" s="5" t="s">
        <v>17</v>
      </c>
      <c r="B42" s="5" t="s">
        <v>118</v>
      </c>
      <c r="C42" s="5" t="s">
        <v>97</v>
      </c>
      <c r="D42" s="5" t="n">
        <v>1008</v>
      </c>
      <c r="E42" s="5" t="n">
        <v>0</v>
      </c>
      <c r="F42" s="5" t="n">
        <v>1</v>
      </c>
      <c r="G42" s="5"/>
      <c r="H42" s="5"/>
      <c r="I42" s="5" t="s">
        <v>156</v>
      </c>
    </row>
    <row r="43" customFormat="false" ht="15" hidden="false" customHeight="true" outlineLevel="0" collapsed="false">
      <c r="A43" s="5" t="s">
        <v>17</v>
      </c>
      <c r="B43" s="5" t="s">
        <v>49</v>
      </c>
      <c r="C43" s="5" t="s">
        <v>97</v>
      </c>
      <c r="D43" s="5" t="n">
        <v>1008</v>
      </c>
      <c r="E43" s="5" t="n">
        <v>0</v>
      </c>
      <c r="F43" s="5" t="n">
        <v>4</v>
      </c>
      <c r="G43" s="5"/>
      <c r="H43" s="5"/>
      <c r="I43" s="5" t="s">
        <v>157</v>
      </c>
    </row>
    <row r="44" customFormat="false" ht="15" hidden="false" customHeight="true" outlineLevel="0" collapsed="false">
      <c r="A44" s="5" t="s">
        <v>17</v>
      </c>
      <c r="B44" s="5" t="s">
        <v>54</v>
      </c>
      <c r="C44" s="5" t="s">
        <v>97</v>
      </c>
      <c r="D44" s="5" t="n">
        <v>1007</v>
      </c>
      <c r="E44" s="5" t="n">
        <v>1</v>
      </c>
      <c r="F44" s="5" t="n">
        <v>2</v>
      </c>
      <c r="G44" s="5"/>
      <c r="H44" s="5"/>
      <c r="I44" s="5" t="s">
        <v>158</v>
      </c>
    </row>
    <row r="45" customFormat="false" ht="15" hidden="false" customHeight="true" outlineLevel="0" collapsed="false">
      <c r="A45" s="5" t="s">
        <v>17</v>
      </c>
      <c r="B45" s="5" t="s">
        <v>57</v>
      </c>
      <c r="C45" s="5" t="s">
        <v>97</v>
      </c>
      <c r="D45" s="5" t="n">
        <v>1007</v>
      </c>
      <c r="E45" s="5" t="n">
        <v>1</v>
      </c>
      <c r="F45" s="5" t="n">
        <v>3</v>
      </c>
      <c r="G45" s="5"/>
      <c r="H45" s="5"/>
      <c r="I45" s="5" t="s">
        <v>159</v>
      </c>
    </row>
    <row r="46" customFormat="false" ht="15" hidden="false" customHeight="true" outlineLevel="0" collapsed="false">
      <c r="A46" s="5" t="s">
        <v>17</v>
      </c>
      <c r="B46" s="5" t="s">
        <v>123</v>
      </c>
      <c r="C46" s="5" t="s">
        <v>97</v>
      </c>
      <c r="D46" s="5" t="n">
        <v>935</v>
      </c>
      <c r="E46" s="5" t="n">
        <v>73</v>
      </c>
      <c r="F46" s="5" t="n">
        <v>898</v>
      </c>
      <c r="G46" s="5"/>
      <c r="H46" s="5"/>
      <c r="I46" s="5"/>
    </row>
    <row r="47" customFormat="false" ht="15" hidden="false" customHeight="true" outlineLevel="0" collapsed="false">
      <c r="A47" s="5" t="s">
        <v>17</v>
      </c>
      <c r="B47" s="5" t="s">
        <v>126</v>
      </c>
      <c r="C47" s="5" t="s">
        <v>97</v>
      </c>
      <c r="D47" s="5" t="n">
        <v>1008</v>
      </c>
      <c r="E47" s="5" t="n">
        <v>0</v>
      </c>
      <c r="F47" s="5" t="n">
        <v>58</v>
      </c>
      <c r="G47" s="5" t="s">
        <v>127</v>
      </c>
      <c r="H47" s="5" t="s">
        <v>128</v>
      </c>
      <c r="I47" s="5"/>
    </row>
    <row r="48" customFormat="false" ht="15" hidden="false" customHeight="true" outlineLevel="0" collapsed="false">
      <c r="A48" s="5" t="s">
        <v>17</v>
      </c>
      <c r="B48" s="5" t="s">
        <v>129</v>
      </c>
      <c r="C48" s="5" t="s">
        <v>97</v>
      </c>
      <c r="D48" s="5" t="n">
        <v>1008</v>
      </c>
      <c r="E48" s="5" t="n">
        <v>0</v>
      </c>
      <c r="F48" s="5" t="n">
        <v>33</v>
      </c>
      <c r="G48" s="5" t="s">
        <v>127</v>
      </c>
      <c r="H48" s="5" t="s">
        <v>130</v>
      </c>
      <c r="I48" s="5" t="s">
        <v>160</v>
      </c>
    </row>
    <row r="49" customFormat="false" ht="15" hidden="false" customHeight="true" outlineLevel="0" collapsed="false">
      <c r="A49" s="5" t="s">
        <v>17</v>
      </c>
      <c r="B49" s="5" t="s">
        <v>132</v>
      </c>
      <c r="C49" s="5" t="s">
        <v>97</v>
      </c>
      <c r="D49" s="5" t="n">
        <v>1008</v>
      </c>
      <c r="E49" s="5" t="n">
        <v>0</v>
      </c>
      <c r="F49" s="5" t="n">
        <v>450</v>
      </c>
      <c r="G49" s="5" t="s">
        <v>133</v>
      </c>
      <c r="H49" s="5" t="s">
        <v>134</v>
      </c>
      <c r="I49" s="5"/>
    </row>
    <row r="50" customFormat="false" ht="15" hidden="false" customHeight="true" outlineLevel="0" collapsed="false">
      <c r="A50" s="5" t="s">
        <v>17</v>
      </c>
      <c r="B50" s="5" t="s">
        <v>135</v>
      </c>
      <c r="C50" s="5" t="s">
        <v>97</v>
      </c>
      <c r="D50" s="5" t="n">
        <v>1008</v>
      </c>
      <c r="E50" s="5" t="n">
        <v>0</v>
      </c>
      <c r="F50" s="5" t="n">
        <v>1000</v>
      </c>
      <c r="G50" s="5"/>
      <c r="H50" s="5"/>
      <c r="I50" s="5"/>
    </row>
    <row r="51" customFormat="false" ht="15" hidden="false" customHeight="true" outlineLevel="0" collapsed="false">
      <c r="A51" s="5" t="s">
        <v>17</v>
      </c>
      <c r="B51" s="5" t="s">
        <v>136</v>
      </c>
      <c r="C51" s="5" t="s">
        <v>97</v>
      </c>
      <c r="D51" s="5" t="n">
        <v>1008</v>
      </c>
      <c r="E51" s="5" t="n">
        <v>0</v>
      </c>
      <c r="F51" s="5" t="n">
        <v>754</v>
      </c>
      <c r="G51" s="5" t="s">
        <v>138</v>
      </c>
      <c r="H51" s="5" t="s">
        <v>139</v>
      </c>
      <c r="I51" s="5"/>
    </row>
    <row r="52" customFormat="false" ht="15" hidden="false" customHeight="true" outlineLevel="0" collapsed="false">
      <c r="A52" s="5" t="s">
        <v>17</v>
      </c>
      <c r="B52" s="5" t="s">
        <v>86</v>
      </c>
      <c r="C52" s="5" t="s">
        <v>97</v>
      </c>
      <c r="D52" s="5" t="n">
        <v>1008</v>
      </c>
      <c r="E52" s="5" t="n">
        <v>0</v>
      </c>
      <c r="F52" s="5" t="n">
        <v>2</v>
      </c>
      <c r="G52" s="5"/>
      <c r="H52" s="5"/>
      <c r="I52" s="5" t="s">
        <v>161</v>
      </c>
    </row>
    <row r="53" customFormat="false" ht="15" hidden="false" customHeight="true" outlineLevel="0" collapsed="false">
      <c r="A53" s="5" t="s">
        <v>17</v>
      </c>
      <c r="B53" s="5" t="s">
        <v>87</v>
      </c>
      <c r="C53" s="5" t="s">
        <v>97</v>
      </c>
      <c r="D53" s="5" t="n">
        <v>1008</v>
      </c>
      <c r="E53" s="5" t="n">
        <v>0</v>
      </c>
      <c r="F53" s="5" t="n">
        <v>2</v>
      </c>
      <c r="G53" s="5"/>
      <c r="H53" s="5"/>
      <c r="I53" s="5" t="s">
        <v>162</v>
      </c>
    </row>
    <row r="54" customFormat="false" ht="15" hidden="false" customHeight="true" outlineLevel="0" collapsed="false">
      <c r="A54" s="5" t="s">
        <v>17</v>
      </c>
      <c r="B54" s="5" t="s">
        <v>78</v>
      </c>
      <c r="C54" s="5" t="s">
        <v>97</v>
      </c>
      <c r="D54" s="5" t="n">
        <v>1008</v>
      </c>
      <c r="E54" s="5" t="n">
        <v>0</v>
      </c>
      <c r="F54" s="5" t="n">
        <v>2</v>
      </c>
      <c r="G54" s="5"/>
      <c r="H54" s="5"/>
      <c r="I54" s="5" t="s">
        <v>163</v>
      </c>
    </row>
    <row r="55" customFormat="false" ht="15" hidden="false" customHeight="true" outlineLevel="0" collapsed="false">
      <c r="A55" s="5" t="s">
        <v>17</v>
      </c>
      <c r="B55" s="5" t="s">
        <v>80</v>
      </c>
      <c r="C55" s="5" t="s">
        <v>97</v>
      </c>
      <c r="D55" s="5" t="n">
        <v>1008</v>
      </c>
      <c r="E55" s="5" t="n">
        <v>0</v>
      </c>
      <c r="F55" s="5" t="n">
        <v>2</v>
      </c>
      <c r="G55" s="5"/>
      <c r="H55" s="5"/>
      <c r="I55" s="5" t="s">
        <v>164</v>
      </c>
    </row>
    <row r="56" customFormat="false" ht="15" hidden="false" customHeight="true" outlineLevel="0" collapsed="false">
      <c r="A56" s="5" t="s">
        <v>17</v>
      </c>
      <c r="B56" s="5" t="s">
        <v>83</v>
      </c>
      <c r="C56" s="5" t="s">
        <v>97</v>
      </c>
      <c r="D56" s="5" t="n">
        <v>1008</v>
      </c>
      <c r="E56" s="5" t="n">
        <v>0</v>
      </c>
      <c r="F56" s="5" t="n">
        <v>2</v>
      </c>
      <c r="G56" s="5"/>
      <c r="H56" s="5"/>
      <c r="I56" s="5" t="s">
        <v>165</v>
      </c>
    </row>
    <row r="57" customFormat="false" ht="15" hidden="false" customHeight="true" outlineLevel="0" collapsed="false">
      <c r="A57" s="5" t="s">
        <v>17</v>
      </c>
      <c r="B57" s="5" t="s">
        <v>145</v>
      </c>
      <c r="C57" s="5" t="s">
        <v>97</v>
      </c>
      <c r="D57" s="5" t="n">
        <v>1008</v>
      </c>
      <c r="E57" s="5" t="n">
        <v>0</v>
      </c>
      <c r="F57" s="5" t="n">
        <v>1</v>
      </c>
      <c r="G57" s="5"/>
      <c r="H57" s="5"/>
      <c r="I57" s="5" t="s">
        <v>166</v>
      </c>
    </row>
    <row r="58" customFormat="false" ht="15" hidden="false" customHeight="true" outlineLevel="0" collapsed="false">
      <c r="A58" s="5" t="s">
        <v>17</v>
      </c>
      <c r="B58" s="5" t="s">
        <v>167</v>
      </c>
      <c r="C58" s="5" t="s">
        <v>97</v>
      </c>
      <c r="D58" s="5" t="n">
        <v>1008</v>
      </c>
      <c r="E58" s="5" t="n">
        <v>0</v>
      </c>
      <c r="F58" s="5" t="n">
        <v>1</v>
      </c>
      <c r="G58" s="5"/>
      <c r="H58" s="5"/>
      <c r="I58" s="5" t="s">
        <v>168</v>
      </c>
    </row>
  </sheetData>
  <autoFilter ref="A3:I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20"/>
    <col collapsed="false" customWidth="true" hidden="false" outlineLevel="0" max="3" min="3" style="1" width="100"/>
    <col collapsed="false" customWidth="true" hidden="false" outlineLevel="0" max="4" min="4" style="1" width="20"/>
  </cols>
  <sheetData>
    <row r="1" customFormat="false" ht="17.25" hidden="false" customHeight="true" outlineLevel="0" collapsed="false">
      <c r="A1" s="2" t="s">
        <v>169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170</v>
      </c>
      <c r="B3" s="4" t="s">
        <v>171</v>
      </c>
      <c r="C3" s="4" t="s">
        <v>172</v>
      </c>
      <c r="D3" s="4" t="s">
        <v>173</v>
      </c>
    </row>
    <row r="4" customFormat="false" ht="15" hidden="false" customHeight="true" outlineLevel="0" collapsed="false">
      <c r="A4" s="5" t="s">
        <v>174</v>
      </c>
      <c r="B4" s="5" t="s">
        <v>175</v>
      </c>
      <c r="C4" s="5" t="s">
        <v>176</v>
      </c>
      <c r="D4" s="5" t="s">
        <v>177</v>
      </c>
    </row>
    <row r="5" customFormat="false" ht="15" hidden="false" customHeight="true" outlineLevel="0" collapsed="false">
      <c r="A5" s="5" t="s">
        <v>178</v>
      </c>
      <c r="B5" s="5" t="s">
        <v>175</v>
      </c>
      <c r="C5" s="5" t="s">
        <v>179</v>
      </c>
      <c r="D5" s="5" t="s">
        <v>177</v>
      </c>
    </row>
    <row r="6" customFormat="false" ht="15" hidden="false" customHeight="true" outlineLevel="0" collapsed="false">
      <c r="A6" s="5" t="s">
        <v>180</v>
      </c>
      <c r="B6" s="5" t="s">
        <v>175</v>
      </c>
      <c r="C6" s="5" t="s">
        <v>181</v>
      </c>
      <c r="D6" s="5" t="s">
        <v>177</v>
      </c>
    </row>
    <row r="7" customFormat="false" ht="15" hidden="false" customHeight="true" outlineLevel="0" collapsed="false">
      <c r="A7" s="5" t="s">
        <v>182</v>
      </c>
      <c r="B7" s="5" t="s">
        <v>183</v>
      </c>
      <c r="C7" s="5" t="s">
        <v>184</v>
      </c>
      <c r="D7" s="5" t="s">
        <v>185</v>
      </c>
    </row>
    <row r="8" customFormat="false" ht="15" hidden="false" customHeight="true" outlineLevel="0" collapsed="false">
      <c r="A8" s="5" t="s">
        <v>186</v>
      </c>
      <c r="B8" s="5" t="s">
        <v>183</v>
      </c>
      <c r="C8" s="5" t="s">
        <v>187</v>
      </c>
      <c r="D8" s="5" t="s">
        <v>185</v>
      </c>
    </row>
    <row r="9" customFormat="false" ht="15" hidden="false" customHeight="true" outlineLevel="0" collapsed="false">
      <c r="A9" s="5" t="s">
        <v>188</v>
      </c>
      <c r="B9" s="5" t="s">
        <v>183</v>
      </c>
      <c r="C9" s="5" t="s">
        <v>189</v>
      </c>
      <c r="D9" s="5" t="s">
        <v>185</v>
      </c>
    </row>
    <row r="10" customFormat="false" ht="15" hidden="false" customHeight="true" outlineLevel="0" collapsed="false">
      <c r="A10" s="5" t="s">
        <v>190</v>
      </c>
      <c r="B10" s="5" t="s">
        <v>183</v>
      </c>
      <c r="C10" s="5" t="s">
        <v>191</v>
      </c>
      <c r="D10" s="5" t="s">
        <v>185</v>
      </c>
    </row>
    <row r="11" customFormat="false" ht="15" hidden="false" customHeight="true" outlineLevel="0" collapsed="false">
      <c r="A11" s="5" t="s">
        <v>192</v>
      </c>
      <c r="B11" s="5" t="s">
        <v>183</v>
      </c>
      <c r="C11" s="5" t="s">
        <v>193</v>
      </c>
      <c r="D11" s="5" t="s">
        <v>185</v>
      </c>
    </row>
    <row r="12" customFormat="false" ht="15" hidden="false" customHeight="true" outlineLevel="0" collapsed="false">
      <c r="A12" s="5" t="s">
        <v>194</v>
      </c>
      <c r="B12" s="5" t="s">
        <v>175</v>
      </c>
      <c r="C12" s="5" t="s">
        <v>195</v>
      </c>
      <c r="D12" s="5" t="s">
        <v>185</v>
      </c>
    </row>
    <row r="13" customFormat="false" ht="15" hidden="false" customHeight="true" outlineLevel="0" collapsed="false">
      <c r="A13" s="5" t="s">
        <v>196</v>
      </c>
      <c r="B13" s="5" t="s">
        <v>175</v>
      </c>
      <c r="C13" s="5" t="s">
        <v>197</v>
      </c>
      <c r="D13" s="5"/>
    </row>
    <row r="14" customFormat="false" ht="15" hidden="false" customHeight="true" outlineLevel="0" collapsed="false">
      <c r="A14" s="5" t="s">
        <v>198</v>
      </c>
      <c r="B14" s="5" t="s">
        <v>175</v>
      </c>
      <c r="C14" s="5" t="s">
        <v>199</v>
      </c>
      <c r="D14" s="5"/>
    </row>
    <row r="15" customFormat="false" ht="15" hidden="false" customHeight="true" outlineLevel="0" collapsed="false">
      <c r="A15" s="5" t="s">
        <v>200</v>
      </c>
      <c r="B15" s="5" t="s">
        <v>175</v>
      </c>
      <c r="C15" s="5" t="s">
        <v>201</v>
      </c>
      <c r="D15" s="5"/>
    </row>
    <row r="16" customFormat="false" ht="15" hidden="false" customHeight="true" outlineLevel="0" collapsed="false">
      <c r="A16" s="5" t="s">
        <v>202</v>
      </c>
      <c r="B16" s="5" t="s">
        <v>175</v>
      </c>
      <c r="C16" s="5" t="s">
        <v>203</v>
      </c>
      <c r="D16" s="5"/>
    </row>
    <row r="17" customFormat="false" ht="15" hidden="false" customHeight="true" outlineLevel="0" collapsed="false">
      <c r="A17" s="5" t="s">
        <v>204</v>
      </c>
      <c r="B17" s="5" t="s">
        <v>175</v>
      </c>
      <c r="C17" s="5" t="s">
        <v>203</v>
      </c>
      <c r="D17" s="5"/>
    </row>
    <row r="18" customFormat="false" ht="15" hidden="false" customHeight="true" outlineLevel="0" collapsed="false">
      <c r="A18" s="5" t="s">
        <v>205</v>
      </c>
      <c r="B18" s="5" t="s">
        <v>175</v>
      </c>
      <c r="C18" s="5" t="s">
        <v>206</v>
      </c>
      <c r="D18" s="5"/>
    </row>
    <row r="19" customFormat="false" ht="15" hidden="false" customHeight="true" outlineLevel="0" collapsed="false">
      <c r="A19" s="5" t="s">
        <v>207</v>
      </c>
      <c r="B19" s="5" t="s">
        <v>208</v>
      </c>
      <c r="C19" s="5" t="s">
        <v>209</v>
      </c>
      <c r="D19" s="5"/>
    </row>
    <row r="20" customFormat="false" ht="23.25" hidden="false" customHeight="true" outlineLevel="0" collapsed="false">
      <c r="A20" s="5" t="s">
        <v>210</v>
      </c>
      <c r="B20" s="5" t="s">
        <v>211</v>
      </c>
      <c r="C20" s="5" t="s">
        <v>212</v>
      </c>
      <c r="D20" s="5"/>
    </row>
  </sheetData>
  <autoFilter ref="A3:D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120"/>
    <col collapsed="false" customWidth="true" hidden="false" outlineLevel="0" max="4" min="4" style="1" width="40"/>
  </cols>
  <sheetData>
    <row r="1" customFormat="false" ht="17.25" hidden="false" customHeight="true" outlineLevel="0" collapsed="false">
      <c r="A1" s="2" t="s">
        <v>213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214</v>
      </c>
      <c r="B3" s="4" t="s">
        <v>215</v>
      </c>
      <c r="C3" s="4" t="s">
        <v>216</v>
      </c>
      <c r="D3" s="4" t="s">
        <v>217</v>
      </c>
    </row>
    <row r="4" customFormat="false" ht="23.25" hidden="false" customHeight="true" outlineLevel="0" collapsed="false">
      <c r="A4" s="5" t="s">
        <v>218</v>
      </c>
      <c r="B4" s="5" t="s">
        <v>82</v>
      </c>
      <c r="C4" s="5" t="s">
        <v>219</v>
      </c>
      <c r="D4" s="5" t="s">
        <v>185</v>
      </c>
    </row>
    <row r="5" customFormat="false" ht="23.25" hidden="false" customHeight="true" outlineLevel="0" collapsed="false">
      <c r="A5" s="5" t="s">
        <v>220</v>
      </c>
      <c r="B5" s="5" t="s">
        <v>82</v>
      </c>
      <c r="C5" s="5" t="s">
        <v>221</v>
      </c>
      <c r="D5" s="5" t="s">
        <v>222</v>
      </c>
    </row>
    <row r="6" customFormat="false" ht="15" hidden="false" customHeight="true" outlineLevel="0" collapsed="false">
      <c r="A6" s="5" t="s">
        <v>223</v>
      </c>
      <c r="B6" s="5" t="s">
        <v>82</v>
      </c>
      <c r="C6" s="5" t="s">
        <v>224</v>
      </c>
      <c r="D6" s="5" t="s">
        <v>225</v>
      </c>
    </row>
    <row r="7" customFormat="false" ht="15" hidden="false" customHeight="true" outlineLevel="0" collapsed="false">
      <c r="A7" s="5" t="s">
        <v>226</v>
      </c>
      <c r="B7" s="5" t="s">
        <v>82</v>
      </c>
      <c r="C7" s="5" t="s">
        <v>227</v>
      </c>
      <c r="D7" s="5" t="s">
        <v>228</v>
      </c>
    </row>
    <row r="8" customFormat="false" ht="15" hidden="false" customHeight="true" outlineLevel="0" collapsed="false">
      <c r="A8" s="5" t="s">
        <v>229</v>
      </c>
      <c r="B8" s="5" t="s">
        <v>82</v>
      </c>
      <c r="C8" s="5" t="s">
        <v>230</v>
      </c>
      <c r="D8" s="5" t="s">
        <v>231</v>
      </c>
    </row>
    <row r="9" customFormat="false" ht="15" hidden="false" customHeight="true" outlineLevel="0" collapsed="false">
      <c r="A9" s="5" t="s">
        <v>232</v>
      </c>
      <c r="B9" s="5" t="s">
        <v>82</v>
      </c>
      <c r="C9" s="5" t="s">
        <v>233</v>
      </c>
      <c r="D9" s="5" t="s">
        <v>234</v>
      </c>
    </row>
    <row r="10" customFormat="false" ht="15" hidden="false" customHeight="true" outlineLevel="0" collapsed="false">
      <c r="A10" s="5" t="s">
        <v>235</v>
      </c>
      <c r="B10" s="5" t="s">
        <v>82</v>
      </c>
      <c r="C10" s="5" t="s">
        <v>236</v>
      </c>
      <c r="D10" s="5" t="s">
        <v>237</v>
      </c>
    </row>
    <row r="11" customFormat="false" ht="23.25" hidden="false" customHeight="true" outlineLevel="0" collapsed="false">
      <c r="A11" s="5" t="s">
        <v>238</v>
      </c>
      <c r="B11" s="5" t="s">
        <v>239</v>
      </c>
      <c r="C11" s="5" t="s">
        <v>240</v>
      </c>
      <c r="D11" s="5" t="s">
        <v>241</v>
      </c>
    </row>
    <row r="12" customFormat="false" ht="23.25" hidden="false" customHeight="true" outlineLevel="0" collapsed="false">
      <c r="A12" s="5" t="s">
        <v>242</v>
      </c>
      <c r="B12" s="5" t="s">
        <v>243</v>
      </c>
      <c r="C12" s="5" t="s">
        <v>244</v>
      </c>
      <c r="D12" s="5" t="s">
        <v>245</v>
      </c>
    </row>
    <row r="13" customFormat="false" ht="23.25" hidden="false" customHeight="true" outlineLevel="0" collapsed="false">
      <c r="A13" s="5" t="s">
        <v>246</v>
      </c>
      <c r="B13" s="5" t="s">
        <v>243</v>
      </c>
      <c r="C13" s="5" t="s">
        <v>247</v>
      </c>
      <c r="D13" s="5" t="s">
        <v>248</v>
      </c>
    </row>
    <row r="14" customFormat="false" ht="15" hidden="false" customHeight="true" outlineLevel="0" collapsed="false">
      <c r="A14" s="5" t="s">
        <v>249</v>
      </c>
      <c r="B14" s="5" t="s">
        <v>243</v>
      </c>
      <c r="C14" s="5" t="s">
        <v>250</v>
      </c>
      <c r="D14" s="5" t="s">
        <v>251</v>
      </c>
    </row>
    <row r="15" customFormat="false" ht="23.25" hidden="false" customHeight="true" outlineLevel="0" collapsed="false">
      <c r="A15" s="5" t="s">
        <v>252</v>
      </c>
      <c r="B15" s="5" t="s">
        <v>253</v>
      </c>
      <c r="C15" s="5" t="s">
        <v>254</v>
      </c>
      <c r="D15" s="5" t="s">
        <v>255</v>
      </c>
    </row>
    <row r="16" customFormat="false" ht="15" hidden="false" customHeight="true" outlineLevel="0" collapsed="false">
      <c r="A16" s="5" t="s">
        <v>256</v>
      </c>
      <c r="B16" s="5" t="s">
        <v>81</v>
      </c>
      <c r="C16" s="5" t="s">
        <v>257</v>
      </c>
      <c r="D16" s="5" t="s">
        <v>258</v>
      </c>
    </row>
    <row r="17" customFormat="false" ht="15" hidden="false" customHeight="true" outlineLevel="0" collapsed="false">
      <c r="A17" s="5" t="s">
        <v>259</v>
      </c>
      <c r="B17" s="5" t="s">
        <v>81</v>
      </c>
      <c r="C17" s="5" t="s">
        <v>260</v>
      </c>
      <c r="D17" s="5" t="s">
        <v>261</v>
      </c>
    </row>
    <row r="18" customFormat="false" ht="15" hidden="false" customHeight="true" outlineLevel="0" collapsed="false">
      <c r="A18" s="5" t="s">
        <v>262</v>
      </c>
      <c r="B18" s="5" t="s">
        <v>81</v>
      </c>
      <c r="C18" s="5" t="s">
        <v>263</v>
      </c>
      <c r="D18" s="5" t="s">
        <v>264</v>
      </c>
    </row>
    <row r="19" customFormat="false" ht="15" hidden="false" customHeight="true" outlineLevel="0" collapsed="false">
      <c r="A19" s="5" t="s">
        <v>265</v>
      </c>
      <c r="B19" s="5" t="s">
        <v>81</v>
      </c>
      <c r="C19" s="5" t="s">
        <v>266</v>
      </c>
      <c r="D19" s="5" t="s">
        <v>267</v>
      </c>
    </row>
    <row r="20" customFormat="false" ht="15" hidden="false" customHeight="true" outlineLevel="0" collapsed="false">
      <c r="A20" s="5" t="s">
        <v>268</v>
      </c>
      <c r="B20" s="5" t="s">
        <v>81</v>
      </c>
      <c r="C20" s="5" t="s">
        <v>269</v>
      </c>
      <c r="D20" s="5" t="s">
        <v>270</v>
      </c>
    </row>
  </sheetData>
  <autoFilter ref="A3:D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2026-10-08T07:29:05Z</dcterms:created>
  <dc:creator>openpyxl</dc:creator>
  <dc:description/>
  <dc:language>en-US</dc:language>
  <cp:lastModifiedBy/>
  <dcterms:modified xsi:type="dcterms:W3CDTF">2026-10-08T08:24:15Z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